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9016" windowHeight="18696" tabRatio="600" firstSheet="0" activeTab="0" autoFilterDateGrouping="1"/>
  </bookViews>
  <sheets>
    <sheet name="7-25差分サマリー" sheetId="1" state="visible" r:id="rId1"/>
    <sheet name="原価一覧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5">
    <font>
      <name val="ＭＳ Ｐゴシック"/>
      <family val="2"/>
      <color theme="1"/>
      <sz val="11"/>
      <scheme val="minor"/>
    </font>
    <font>
      <name val="Arial"/>
      <family val="2"/>
      <b val="1"/>
      <sz val="13"/>
    </font>
    <font>
      <name val="Arial"/>
      <family val="2"/>
      <color rgb="FF808080"/>
      <sz val="9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ＭＳ Ｐゴシック"/>
      <charset val="128"/>
      <family val="3"/>
      <sz val="6"/>
      <scheme val="minor"/>
    </font>
    <font>
      <b val="1"/>
      <color rgb="00FFFFFF"/>
      <sz val="10"/>
    </font>
    <font>
      <b val="1"/>
      <color rgb="000070C0"/>
    </font>
    <font>
      <color rgb="000070C0"/>
      <sz val="9"/>
    </font>
    <font>
      <color rgb="00808080"/>
    </font>
    <font>
      <color rgb="00808080"/>
      <sz val="9"/>
    </font>
    <font>
      <b val="1"/>
      <color rgb="001F4E78"/>
      <sz val="14"/>
    </font>
    <font>
      <b val="1"/>
      <color rgb="00000000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F00"/>
      </patternFill>
    </fill>
    <fill>
      <patternFill patternType="solid">
        <fgColor rgb="FFEEEEEE"/>
      </patternFill>
    </fill>
    <fill>
      <patternFill patternType="solid">
        <fgColor rgb="00C0000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3" fontId="5" fillId="0" borderId="1" pivotButton="0" quotePrefix="0" xfId="0"/>
    <xf numFmtId="3" fontId="4" fillId="3" borderId="1" pivotButton="0" quotePrefix="0" xfId="0"/>
    <xf numFmtId="0" fontId="4" fillId="4" borderId="1" pivotButton="0" quotePrefix="0" xfId="0"/>
    <xf numFmtId="3" fontId="5" fillId="4" borderId="1" pivotButton="0" quotePrefix="0" xfId="0"/>
    <xf numFmtId="0" fontId="2" fillId="0" borderId="0" applyAlignment="1" pivotButton="0" quotePrefix="0" xfId="0">
      <alignment wrapText="1"/>
    </xf>
    <xf numFmtId="0" fontId="0" fillId="0" borderId="0" pivotButton="0" quotePrefix="0" xfId="0"/>
    <xf numFmtId="3" fontId="3" fillId="2" borderId="1" applyAlignment="1" pivotButton="0" quotePrefix="0" xfId="0">
      <alignment horizontal="center"/>
    </xf>
    <xf numFmtId="0" fontId="7" fillId="5" borderId="2" applyAlignment="1" pivotButton="0" quotePrefix="0" xfId="0">
      <alignment horizontal="center" vertical="center" wrapText="1"/>
    </xf>
    <xf numFmtId="3" fontId="0" fillId="6" borderId="2" applyAlignment="1" pivotButton="0" quotePrefix="0" xfId="0">
      <alignment horizontal="center"/>
    </xf>
    <xf numFmtId="164" fontId="8" fillId="6" borderId="2" applyAlignment="1" pivotButton="0" quotePrefix="0" xfId="0">
      <alignment horizontal="center"/>
    </xf>
    <xf numFmtId="0" fontId="9" fillId="6" borderId="2" applyAlignment="1" pivotButton="0" quotePrefix="0" xfId="0">
      <alignment horizontal="center"/>
    </xf>
    <xf numFmtId="3" fontId="0" fillId="7" borderId="2" applyAlignment="1" pivotButton="0" quotePrefix="0" xfId="0">
      <alignment horizontal="center"/>
    </xf>
    <xf numFmtId="164" fontId="10" fillId="7" borderId="2" applyAlignment="1" pivotButton="0" quotePrefix="0" xfId="0">
      <alignment horizontal="center"/>
    </xf>
    <xf numFmtId="0" fontId="11" fillId="7" borderId="2" applyAlignment="1" pivotButton="0" quotePrefix="0" xfId="0">
      <alignment horizontal="center"/>
    </xf>
    <xf numFmtId="0" fontId="12" fillId="0" borderId="0" pivotButton="0" quotePrefix="0" xfId="0"/>
    <xf numFmtId="0" fontId="11" fillId="0" borderId="0" pivotButton="0" quotePrefix="0" xfId="0"/>
    <xf numFmtId="0" fontId="7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164" fontId="8" fillId="0" borderId="2" pivotButton="0" quotePrefix="0" xfId="0"/>
    <xf numFmtId="0" fontId="0" fillId="9" borderId="2" pivotButton="0" quotePrefix="0" xfId="0"/>
    <xf numFmtId="3" fontId="0" fillId="9" borderId="2" pivotButton="0" quotePrefix="0" xfId="0"/>
    <xf numFmtId="164" fontId="8" fillId="9" borderId="2" pivotButton="0" quotePrefix="0" xfId="0"/>
    <xf numFmtId="164" fontId="10" fillId="9" borderId="2" pivotButton="0" quotePrefix="0" xfId="0"/>
    <xf numFmtId="164" fontId="10" fillId="0" borderId="2" pivotButton="0" quotePrefix="0" xfId="0"/>
    <xf numFmtId="0" fontId="13" fillId="6" borderId="2" pivotButton="0" quotePrefix="0" xfId="0"/>
    <xf numFmtId="164" fontId="8" fillId="6" borderId="2" pivotButton="0" quotePrefix="0" xfId="0"/>
    <xf numFmtId="0" fontId="14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style="9" min="1" max="1"/>
    <col width="12" customWidth="1" style="9" min="2" max="2"/>
    <col width="12" customWidth="1" style="9" min="3" max="3"/>
    <col width="12" customWidth="1" style="9" min="4" max="4"/>
    <col width="16" customWidth="1" style="9" min="5" max="5"/>
    <col width="20" customWidth="1" style="9" min="6" max="6"/>
  </cols>
  <sheetData>
    <row r="1">
      <c r="A1" s="18" t="inlineStr">
        <is>
          <t>原価改定サマリー  7/22版 → 7/25版</t>
        </is>
      </c>
    </row>
    <row r="2">
      <c r="A2" s="19" t="inlineStr">
        <is>
          <t>※ Shopify・システムへの反映は未実施（本ファイルのみ更新）</t>
        </is>
      </c>
    </row>
    <row r="4">
      <c r="A4" s="20" t="inlineStr">
        <is>
          <t>商品</t>
        </is>
      </c>
      <c r="B4" s="20" t="inlineStr">
        <is>
          <t>7/22原価</t>
        </is>
      </c>
      <c r="C4" s="20" t="inlineStr">
        <is>
          <t>7/25原価</t>
        </is>
      </c>
      <c r="D4" s="20" t="inlineStr">
        <is>
          <t>差額</t>
        </is>
      </c>
      <c r="E4" s="20" t="inlineStr">
        <is>
          <t>直近30日 販売数</t>
        </is>
      </c>
      <c r="F4" s="20" t="inlineStr">
        <is>
          <t>30日インパクト(円)</t>
        </is>
      </c>
    </row>
    <row r="5">
      <c r="A5" s="21" t="inlineStr">
        <is>
          <t>偏光・調光サングラス</t>
        </is>
      </c>
      <c r="B5" s="22" t="n">
        <v>977</v>
      </c>
      <c r="C5" s="22" t="n">
        <v>893</v>
      </c>
      <c r="D5" s="23" t="n">
        <v>-84</v>
      </c>
      <c r="E5" s="22" t="n">
        <v>406</v>
      </c>
      <c r="F5" s="23" t="n">
        <v>-34104</v>
      </c>
    </row>
    <row r="6">
      <c r="A6" s="24" t="inlineStr">
        <is>
          <t>UV歯ブラシ除菌器</t>
        </is>
      </c>
      <c r="B6" s="25" t="n">
        <v>3480</v>
      </c>
      <c r="C6" s="25" t="n">
        <v>3240</v>
      </c>
      <c r="D6" s="26" t="n">
        <v>-240</v>
      </c>
      <c r="E6" s="25" t="n">
        <v>113</v>
      </c>
      <c r="F6" s="26" t="n">
        <v>-27120</v>
      </c>
    </row>
    <row r="7">
      <c r="A7" s="21" t="inlineStr">
        <is>
          <t>健康サンダル</t>
        </is>
      </c>
      <c r="B7" s="22" t="n">
        <v>1262</v>
      </c>
      <c r="C7" s="22" t="n">
        <v>1162</v>
      </c>
      <c r="D7" s="23" t="n">
        <v>-100</v>
      </c>
      <c r="E7" s="22" t="n">
        <v>185</v>
      </c>
      <c r="F7" s="23" t="n">
        <v>-18500</v>
      </c>
    </row>
    <row r="8">
      <c r="A8" s="24" t="inlineStr">
        <is>
          <t>湯上がりガーゼワンピース</t>
        </is>
      </c>
      <c r="B8" s="25" t="n">
        <v>2048</v>
      </c>
      <c r="C8" s="25" t="n">
        <v>1968</v>
      </c>
      <c r="D8" s="26" t="n">
        <v>-80</v>
      </c>
      <c r="E8" s="25" t="n">
        <v>163</v>
      </c>
      <c r="F8" s="26" t="n">
        <v>-13040</v>
      </c>
    </row>
    <row r="9">
      <c r="A9" s="21" t="inlineStr">
        <is>
          <t>壁掛けディスペンサー</t>
        </is>
      </c>
      <c r="B9" s="22" t="n">
        <v>2400</v>
      </c>
      <c r="C9" s="22" t="n">
        <v>2318</v>
      </c>
      <c r="D9" s="23" t="n">
        <v>-82</v>
      </c>
      <c r="E9" s="22" t="n">
        <v>151</v>
      </c>
      <c r="F9" s="23" t="n">
        <v>-12382</v>
      </c>
    </row>
    <row r="10">
      <c r="A10" s="24" t="inlineStr">
        <is>
          <t>携帯電動シェーバー</t>
        </is>
      </c>
      <c r="B10" s="25" t="n">
        <v>1780</v>
      </c>
      <c r="C10" s="25" t="n">
        <v>1743</v>
      </c>
      <c r="D10" s="26" t="n">
        <v>-37</v>
      </c>
      <c r="E10" s="25" t="n">
        <v>189</v>
      </c>
      <c r="F10" s="26" t="n">
        <v>-6993</v>
      </c>
    </row>
    <row r="11">
      <c r="A11" s="21" t="inlineStr">
        <is>
          <t>接触冷感UVアームカバー</t>
        </is>
      </c>
      <c r="B11" s="22" t="n">
        <v>800</v>
      </c>
      <c r="C11" s="22" t="n">
        <v>784</v>
      </c>
      <c r="D11" s="23" t="n">
        <v>-16</v>
      </c>
      <c r="E11" s="22" t="n">
        <v>246</v>
      </c>
      <c r="F11" s="23" t="n">
        <v>-3936</v>
      </c>
    </row>
    <row r="12">
      <c r="A12" s="24" t="inlineStr">
        <is>
          <t>3WAYサーキュレーター</t>
        </is>
      </c>
      <c r="B12" s="25" t="n">
        <v>2500</v>
      </c>
      <c r="C12" s="25" t="n">
        <v>2485</v>
      </c>
      <c r="D12" s="26" t="n">
        <v>-15</v>
      </c>
      <c r="E12" s="25" t="n">
        <v>161</v>
      </c>
      <c r="F12" s="26" t="n">
        <v>-2415</v>
      </c>
    </row>
    <row r="13">
      <c r="A13" s="21" t="inlineStr">
        <is>
          <t>瞬間冷感ポンチョ</t>
        </is>
      </c>
      <c r="B13" s="22" t="n">
        <v>1017</v>
      </c>
      <c r="C13" s="22" t="n">
        <v>987</v>
      </c>
      <c r="D13" s="23" t="n">
        <v>-30</v>
      </c>
      <c r="E13" s="22" t="n">
        <v>70</v>
      </c>
      <c r="F13" s="23" t="n">
        <v>-2100</v>
      </c>
    </row>
    <row r="14">
      <c r="A14" s="24" t="inlineStr">
        <is>
          <t>ナノバブルシャワーヘッド</t>
        </is>
      </c>
      <c r="B14" s="25" t="n">
        <v>2333</v>
      </c>
      <c r="C14" s="25" t="n">
        <v>2255</v>
      </c>
      <c r="D14" s="26" t="n">
        <v>-78</v>
      </c>
      <c r="E14" s="25" t="n">
        <v>12</v>
      </c>
      <c r="F14" s="26" t="n">
        <v>-936</v>
      </c>
    </row>
    <row r="15">
      <c r="A15" s="21" t="inlineStr">
        <is>
          <t>瞬間冷却ハンディファン</t>
        </is>
      </c>
      <c r="B15" s="22" t="n">
        <v>2119</v>
      </c>
      <c r="C15" s="22" t="n">
        <v>2053</v>
      </c>
      <c r="D15" s="23" t="n">
        <v>-66</v>
      </c>
      <c r="E15" s="22" t="n">
        <v>14</v>
      </c>
      <c r="F15" s="23" t="n">
        <v>-924</v>
      </c>
    </row>
    <row r="16">
      <c r="A16" s="24" t="inlineStr">
        <is>
          <t>リカバリーサンダル</t>
        </is>
      </c>
      <c r="B16" s="25" t="n">
        <v>1375</v>
      </c>
      <c r="C16" s="25" t="n">
        <v>1309</v>
      </c>
      <c r="D16" s="26" t="n">
        <v>-66</v>
      </c>
      <c r="E16" s="25" t="n">
        <v>7</v>
      </c>
      <c r="F16" s="26" t="n">
        <v>-462</v>
      </c>
    </row>
    <row r="17">
      <c r="A17" s="21" t="inlineStr">
        <is>
          <t>指圧マット</t>
        </is>
      </c>
      <c r="B17" s="22" t="n">
        <v>1910</v>
      </c>
      <c r="C17" s="22" t="n">
        <v>1648</v>
      </c>
      <c r="D17" s="23" t="n">
        <v>-262</v>
      </c>
      <c r="E17" s="22" t="n">
        <v>1</v>
      </c>
      <c r="F17" s="23" t="n">
        <v>-262</v>
      </c>
    </row>
    <row r="18">
      <c r="A18" s="24" t="inlineStr">
        <is>
          <t>UVハット</t>
        </is>
      </c>
      <c r="B18" s="25" t="n">
        <v>1435</v>
      </c>
      <c r="C18" s="25" t="n">
        <v>1411</v>
      </c>
      <c r="D18" s="26" t="n">
        <v>-24</v>
      </c>
      <c r="E18" s="25" t="n">
        <v>8</v>
      </c>
      <c r="F18" s="26" t="n">
        <v>-192</v>
      </c>
    </row>
    <row r="19">
      <c r="A19" s="21" t="inlineStr">
        <is>
          <t>保温プレート</t>
        </is>
      </c>
      <c r="B19" s="22" t="n">
        <v>3886</v>
      </c>
      <c r="C19" s="22" t="n">
        <v>3703</v>
      </c>
      <c r="D19" s="23" t="n">
        <v>-183</v>
      </c>
      <c r="E19" s="22" t="n">
        <v>1</v>
      </c>
      <c r="F19" s="23" t="n">
        <v>-183</v>
      </c>
    </row>
    <row r="20">
      <c r="A20" s="24" t="inlineStr">
        <is>
          <t>ジェットウォッシャー</t>
        </is>
      </c>
      <c r="B20" s="25" t="n">
        <v>1398</v>
      </c>
      <c r="C20" s="25" t="n">
        <v>1259</v>
      </c>
      <c r="D20" s="26" t="n">
        <v>-139</v>
      </c>
      <c r="E20" s="25" t="n">
        <v>1</v>
      </c>
      <c r="F20" s="26" t="n">
        <v>-139</v>
      </c>
    </row>
    <row r="21">
      <c r="A21" s="21" t="inlineStr">
        <is>
          <t>ネックマッサージャー</t>
        </is>
      </c>
      <c r="B21" s="22" t="n">
        <v>3136</v>
      </c>
      <c r="C21" s="22" t="n">
        <v>3034</v>
      </c>
      <c r="D21" s="23" t="n">
        <v>-102</v>
      </c>
      <c r="E21" s="22" t="n">
        <v>1</v>
      </c>
      <c r="F21" s="23" t="n">
        <v>-102</v>
      </c>
    </row>
    <row r="22">
      <c r="A22" s="24" t="inlineStr">
        <is>
          <t>害虫ブロッカー</t>
        </is>
      </c>
      <c r="B22" s="25" t="n">
        <v>867</v>
      </c>
      <c r="C22" s="25" t="n">
        <v>867</v>
      </c>
      <c r="D22" s="27" t="n">
        <v>0</v>
      </c>
      <c r="E22" s="25" t="n">
        <v>1874</v>
      </c>
      <c r="F22" s="27" t="n">
        <v>0</v>
      </c>
    </row>
    <row r="23">
      <c r="A23" s="21" t="inlineStr">
        <is>
          <t>形状記憶日傘</t>
        </is>
      </c>
      <c r="B23" s="22" t="n">
        <v>1309</v>
      </c>
      <c r="C23" s="22" t="n">
        <v>1309</v>
      </c>
      <c r="D23" s="28" t="n">
        <v>0</v>
      </c>
      <c r="E23" s="22" t="n">
        <v>997</v>
      </c>
      <c r="F23" s="28" t="n">
        <v>0</v>
      </c>
    </row>
    <row r="24">
      <c r="A24" s="24" t="inlineStr">
        <is>
          <t>4WAY</t>
        </is>
      </c>
      <c r="B24" s="25" t="n">
        <v>1730</v>
      </c>
      <c r="C24" s="25" t="n">
        <v>1730</v>
      </c>
      <c r="D24" s="27" t="n">
        <v>0</v>
      </c>
      <c r="E24" s="25" t="n">
        <v>1220</v>
      </c>
      <c r="F24" s="27" t="n">
        <v>0</v>
      </c>
    </row>
    <row r="25">
      <c r="A25" s="21" t="inlineStr">
        <is>
          <t>ナノガラス脱毛パッド</t>
        </is>
      </c>
      <c r="B25" s="22" t="n">
        <v>748</v>
      </c>
      <c r="C25" s="22" t="n">
        <v>748</v>
      </c>
      <c r="D25" s="28" t="n">
        <v>0</v>
      </c>
      <c r="E25" s="22" t="n">
        <v>1195</v>
      </c>
      <c r="F25" s="28" t="n">
        <v>0</v>
      </c>
    </row>
    <row r="26">
      <c r="A26" s="24" t="inlineStr">
        <is>
          <t>完全遮光・形状記憶</t>
        </is>
      </c>
      <c r="B26" s="25" t="n">
        <v>1309</v>
      </c>
      <c r="C26" s="25" t="n">
        <v>1309</v>
      </c>
      <c r="D26" s="27" t="n">
        <v>0</v>
      </c>
      <c r="E26" s="25" t="n">
        <v>442</v>
      </c>
      <c r="F26" s="27" t="n">
        <v>0</v>
      </c>
    </row>
    <row r="27">
      <c r="A27" s="21" t="inlineStr">
        <is>
          <t>卓上冷感クーラー</t>
        </is>
      </c>
      <c r="B27" s="22" t="n">
        <v>1996</v>
      </c>
      <c r="C27" s="22" t="n">
        <v>1996</v>
      </c>
      <c r="D27" s="28" t="n">
        <v>0</v>
      </c>
      <c r="E27" s="22" t="n">
        <v>108</v>
      </c>
      <c r="F27" s="28" t="n">
        <v>0</v>
      </c>
    </row>
    <row r="28">
      <c r="A28" s="24" t="inlineStr">
        <is>
          <t>接触冷感UVパーカー</t>
        </is>
      </c>
      <c r="B28" s="25" t="n">
        <v>1434</v>
      </c>
      <c r="C28" s="25" t="n">
        <v>1434</v>
      </c>
      <c r="D28" s="27" t="n">
        <v>0</v>
      </c>
      <c r="E28" s="25" t="n">
        <v>581</v>
      </c>
      <c r="F28" s="27" t="n">
        <v>0</v>
      </c>
    </row>
    <row r="29">
      <c r="A29" s="21" t="inlineStr">
        <is>
          <t>バランスケアスリッパ</t>
        </is>
      </c>
      <c r="B29" s="22" t="n">
        <v>1304</v>
      </c>
      <c r="C29" s="22" t="n">
        <v>1304</v>
      </c>
      <c r="D29" s="28" t="n">
        <v>0</v>
      </c>
      <c r="E29" s="22" t="n">
        <v>120</v>
      </c>
      <c r="F29" s="28" t="n">
        <v>0</v>
      </c>
    </row>
    <row r="30">
      <c r="A30" s="24" t="inlineStr">
        <is>
          <t>ムダ毛シェーバー</t>
        </is>
      </c>
      <c r="B30" s="25" t="n">
        <v>2798</v>
      </c>
      <c r="C30" s="25" t="n">
        <v>2798</v>
      </c>
      <c r="D30" s="27" t="n">
        <v>0</v>
      </c>
      <c r="E30" s="25" t="n">
        <v>61</v>
      </c>
      <c r="F30" s="27" t="n">
        <v>0</v>
      </c>
    </row>
    <row r="31">
      <c r="A31" s="21" t="inlineStr">
        <is>
          <t>5WAY腰掛けファン</t>
        </is>
      </c>
      <c r="B31" s="22" t="n">
        <v>1848</v>
      </c>
      <c r="C31" s="22" t="n">
        <v>1848</v>
      </c>
      <c r="D31" s="28" t="n">
        <v>0</v>
      </c>
      <c r="E31" s="22" t="n">
        <v>36</v>
      </c>
      <c r="F31" s="28" t="n">
        <v>0</v>
      </c>
    </row>
    <row r="32">
      <c r="A32" s="24" t="inlineStr">
        <is>
          <t>姿勢サポートベルト</t>
        </is>
      </c>
      <c r="B32" s="25" t="n">
        <v>1442</v>
      </c>
      <c r="C32" s="25" t="n">
        <v>1442</v>
      </c>
      <c r="D32" s="27" t="n">
        <v>0</v>
      </c>
      <c r="E32" s="25" t="n">
        <v>1</v>
      </c>
      <c r="F32" s="27" t="n">
        <v>0</v>
      </c>
    </row>
    <row r="33">
      <c r="A33" s="29" t="inlineStr">
        <is>
          <t>合計</t>
        </is>
      </c>
      <c r="B33" s="29" t="inlineStr"/>
      <c r="C33" s="29" t="inlineStr"/>
      <c r="D33" s="29" t="inlineStr"/>
      <c r="E33" s="29" t="inlineStr"/>
      <c r="F33" s="30" t="n">
        <v>-123790</v>
      </c>
    </row>
    <row r="35">
      <c r="A35" s="31" t="inlineStr">
        <is>
          <t>直近30日の該当売上合計: ¥38,702,450   /   原価インパクト: ¥-123,790（利益率 0.32pt 改善相当）</t>
        </is>
      </c>
    </row>
    <row r="36">
      <c r="A36" s="19" t="inlineStr">
        <is>
          <t>ナノガラス/姿勢ベルト/ディスペンサーは色・本数で原価が分かれるため、サマリーでは加重平均値を使用（明細は「原価一覧」シート参照）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8"/>
  <sheetViews>
    <sheetView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G5" sqref="G5"/>
    </sheetView>
  </sheetViews>
  <sheetFormatPr baseColWidth="8" defaultRowHeight="13.2"/>
  <cols>
    <col width="5" customWidth="1" style="9" min="1" max="1"/>
    <col width="40" customWidth="1" style="9" min="2" max="2"/>
    <col width="11" customWidth="1" style="9" min="3" max="3"/>
    <col width="32" customWidth="1" style="9" min="4" max="4"/>
    <col width="14" customWidth="1" style="9" min="5" max="8"/>
    <col width="15" customWidth="1" style="9" min="9" max="9"/>
    <col width="16" customWidth="1" style="9" min="10" max="10"/>
    <col width="14" customWidth="1" style="9" min="11" max="11"/>
  </cols>
  <sheetData>
    <row r="1" ht="16.8" customHeight="1" s="9">
      <c r="A1" s="1" t="inlineStr">
        <is>
          <t>LOOTY 商品原価マスタ（Shopify unitCost・送料込み）</t>
        </is>
      </c>
    </row>
    <row r="2" ht="28.05" customHeight="1" s="9">
      <c r="A2" s="8" t="inlineStr">
        <is>
          <t>2026-07-22 原価一括更新の検証記録。E列=更新前 / F列=新原価(Google原価表I列) / G列=Shopify再取得の実測照合結果。全ACTIVE 182バリエーション更新・全行一致を確認済み。非ACTIVE商品はユーザー指示により対象外。形状記憶日傘は完全遮光UV日傘と同一SPU(CJYD2824705)のため同額1309円を適用。ナノガラスは白/緑757・黒/ピンク740の色別。</t>
        </is>
      </c>
    </row>
    <row r="4" ht="13.8" customHeight="1" s="9">
      <c r="A4" s="2" t="inlineStr">
        <is>
          <t>No</t>
        </is>
      </c>
      <c r="B4" s="2" t="inlineStr">
        <is>
          <t>商品名（正式名称）</t>
        </is>
      </c>
      <c r="C4" s="2" t="inlineStr">
        <is>
          <t>ステータス</t>
        </is>
      </c>
      <c r="D4" s="2" t="inlineStr">
        <is>
          <t>バリエーション</t>
        </is>
      </c>
      <c r="E4" s="2" t="inlineStr">
        <is>
          <t>現在の原価(円)</t>
        </is>
      </c>
      <c r="F4" s="2" t="inlineStr">
        <is>
          <t>新原価(記入欄)</t>
        </is>
      </c>
      <c r="G4" s="10" t="inlineStr">
        <is>
          <t>差額(7/22−更新前)</t>
        </is>
      </c>
      <c r="H4" s="2" t="inlineStr">
        <is>
          <t>メモ</t>
        </is>
      </c>
      <c r="I4" s="11" t="inlineStr">
        <is>
          <t>7/25版 新原価(円)</t>
        </is>
      </c>
      <c r="J4" s="11" t="inlineStr">
        <is>
          <t>差額(7/25−7/22)</t>
        </is>
      </c>
      <c r="K4" s="11" t="inlineStr">
        <is>
          <t>変動</t>
        </is>
      </c>
    </row>
    <row r="5" ht="13.8" customHeight="1" s="9">
      <c r="A5" s="3" t="n">
        <v>1</v>
      </c>
      <c r="B5" s="3" t="inlineStr">
        <is>
          <t>3WAYサーキュレーター扇風機</t>
        </is>
      </c>
      <c r="C5" s="3" t="inlineStr">
        <is>
          <t>ACTIVE</t>
        </is>
      </c>
      <c r="D5" s="3" t="inlineStr">
        <is>
          <t>ベージュ</t>
        </is>
      </c>
      <c r="E5" s="4" t="n">
        <v>2484</v>
      </c>
      <c r="F5" s="5" t="n">
        <v>2500</v>
      </c>
      <c r="G5" s="5">
        <f>F5-E5</f>
        <v/>
      </c>
      <c r="H5" s="3" t="inlineStr">
        <is>
          <t>✅更新済・実測一致  2484→2500</t>
        </is>
      </c>
      <c r="I5" s="12" t="n">
        <v>2485</v>
      </c>
      <c r="J5" s="13">
        <f>I5-F5</f>
        <v/>
      </c>
      <c r="K5" s="14" t="inlineStr">
        <is>
          <t>値下げ -15</t>
        </is>
      </c>
    </row>
    <row r="6" ht="13.8" customHeight="1" s="9">
      <c r="A6" s="3" t="n">
        <v>2</v>
      </c>
      <c r="B6" s="3" t="inlineStr">
        <is>
          <t>3WAYサーキュレーター扇風機</t>
        </is>
      </c>
      <c r="C6" s="3" t="inlineStr">
        <is>
          <t>ACTIVE</t>
        </is>
      </c>
      <c r="D6" s="3" t="inlineStr">
        <is>
          <t>グレー</t>
        </is>
      </c>
      <c r="E6" s="4" t="n">
        <v>2484</v>
      </c>
      <c r="F6" s="5" t="n">
        <v>2500</v>
      </c>
      <c r="G6" s="5">
        <f>F6-E6</f>
        <v/>
      </c>
      <c r="H6" s="3" t="inlineStr">
        <is>
          <t>✅更新済・実測一致  2484→2500</t>
        </is>
      </c>
      <c r="I6" s="12" t="n">
        <v>2485</v>
      </c>
      <c r="J6" s="13">
        <f>I6-F6</f>
        <v/>
      </c>
      <c r="K6" s="14" t="inlineStr">
        <is>
          <t>値下げ -15</t>
        </is>
      </c>
    </row>
    <row r="7" ht="13.8" customHeight="1" s="9">
      <c r="A7" s="3" t="n">
        <v>3</v>
      </c>
      <c r="B7" s="3" t="inlineStr">
        <is>
          <t>3WAYサーキュレーター扇風機</t>
        </is>
      </c>
      <c r="C7" s="3" t="inlineStr">
        <is>
          <t>ACTIVE</t>
        </is>
      </c>
      <c r="D7" s="3" t="inlineStr">
        <is>
          <t>ブラウン</t>
        </is>
      </c>
      <c r="E7" s="4" t="n">
        <v>2484</v>
      </c>
      <c r="F7" s="5" t="n">
        <v>2500</v>
      </c>
      <c r="G7" s="5">
        <f>F7-E7</f>
        <v/>
      </c>
      <c r="H7" s="3" t="inlineStr">
        <is>
          <t>✅更新済・実測一致  2484→2500</t>
        </is>
      </c>
      <c r="I7" s="12" t="n">
        <v>2485</v>
      </c>
      <c r="J7" s="13">
        <f>I7-F7</f>
        <v/>
      </c>
      <c r="K7" s="14" t="inlineStr">
        <is>
          <t>値下げ -15</t>
        </is>
      </c>
    </row>
    <row r="8" ht="13.8" customHeight="1" s="9">
      <c r="A8" s="3" t="n">
        <v>4</v>
      </c>
      <c r="B8" s="3" t="inlineStr">
        <is>
          <t>3WAYサーキュレーター扇風機</t>
        </is>
      </c>
      <c r="C8" s="3" t="inlineStr">
        <is>
          <t>ACTIVE</t>
        </is>
      </c>
      <c r="D8" s="3" t="inlineStr">
        <is>
          <t>ホワイト</t>
        </is>
      </c>
      <c r="E8" s="4" t="n">
        <v>2484</v>
      </c>
      <c r="F8" s="5" t="n">
        <v>2500</v>
      </c>
      <c r="G8" s="5">
        <f>F8-E8</f>
        <v/>
      </c>
      <c r="H8" s="3" t="inlineStr">
        <is>
          <t>✅更新済・実測一致  2484→2500</t>
        </is>
      </c>
      <c r="I8" s="12" t="n">
        <v>2485</v>
      </c>
      <c r="J8" s="13">
        <f>I8-F8</f>
        <v/>
      </c>
      <c r="K8" s="14" t="inlineStr">
        <is>
          <t>値下げ -15</t>
        </is>
      </c>
    </row>
    <row r="9" ht="13.8" customHeight="1" s="9">
      <c r="A9" s="3" t="n">
        <v>5</v>
      </c>
      <c r="B9" s="3" t="inlineStr">
        <is>
          <t>4WAY 取り付けOK 小型瞬間冷却ハンディファン</t>
        </is>
      </c>
      <c r="C9" s="3" t="inlineStr">
        <is>
          <t>ACTIVE</t>
        </is>
      </c>
      <c r="D9" s="3" t="inlineStr">
        <is>
          <t>ブラック</t>
        </is>
      </c>
      <c r="E9" s="4" t="n">
        <v>1708</v>
      </c>
      <c r="F9" s="5" t="n">
        <v>1730</v>
      </c>
      <c r="G9" s="5">
        <f>F9-E9</f>
        <v/>
      </c>
      <c r="H9" s="3" t="inlineStr">
        <is>
          <t>✅更新済・実測一致  1708→1730</t>
        </is>
      </c>
      <c r="I9" s="15" t="n">
        <v>1730</v>
      </c>
      <c r="J9" s="16">
        <f>I9-F9</f>
        <v/>
      </c>
      <c r="K9" s="17" t="inlineStr">
        <is>
          <t>据置</t>
        </is>
      </c>
    </row>
    <row r="10" ht="13.8" customHeight="1" s="9">
      <c r="A10" s="3" t="n">
        <v>6</v>
      </c>
      <c r="B10" s="3" t="inlineStr">
        <is>
          <t>4WAY 取り付けOK 小型瞬間冷却ハンディファン</t>
        </is>
      </c>
      <c r="C10" s="3" t="inlineStr">
        <is>
          <t>ACTIVE</t>
        </is>
      </c>
      <c r="D10" s="3" t="inlineStr">
        <is>
          <t>ホワイト</t>
        </is>
      </c>
      <c r="E10" s="4" t="n">
        <v>1708</v>
      </c>
      <c r="F10" s="5" t="n">
        <v>1730</v>
      </c>
      <c r="G10" s="5">
        <f>F10-E10</f>
        <v/>
      </c>
      <c r="H10" s="3" t="inlineStr">
        <is>
          <t>✅更新済・実測一致  1708→1730</t>
        </is>
      </c>
      <c r="I10" s="15" t="n">
        <v>1730</v>
      </c>
      <c r="J10" s="16">
        <f>I10-F10</f>
        <v/>
      </c>
      <c r="K10" s="17" t="inlineStr">
        <is>
          <t>据置</t>
        </is>
      </c>
    </row>
    <row r="11" ht="13.8" customHeight="1" s="9">
      <c r="A11" s="3" t="n">
        <v>7</v>
      </c>
      <c r="B11" s="3" t="inlineStr">
        <is>
          <t>4WAY 取り付けOK 小型瞬間冷却ハンディファン</t>
        </is>
      </c>
      <c r="C11" s="3" t="inlineStr">
        <is>
          <t>ACTIVE</t>
        </is>
      </c>
      <c r="D11" s="3" t="inlineStr">
        <is>
          <t>ピンク</t>
        </is>
      </c>
      <c r="E11" s="4" t="n">
        <v>1708</v>
      </c>
      <c r="F11" s="5" t="n">
        <v>1730</v>
      </c>
      <c r="G11" s="5">
        <f>F11-E11</f>
        <v/>
      </c>
      <c r="H11" s="3" t="inlineStr">
        <is>
          <t>✅更新済・実測一致  1708→1730</t>
        </is>
      </c>
      <c r="I11" s="15" t="n">
        <v>1730</v>
      </c>
      <c r="J11" s="16">
        <f>I11-F11</f>
        <v/>
      </c>
      <c r="K11" s="17" t="inlineStr">
        <is>
          <t>据置</t>
        </is>
      </c>
    </row>
    <row r="12" ht="13.8" customHeight="1" s="9">
      <c r="A12" s="3" t="n">
        <v>8</v>
      </c>
      <c r="B12" s="3" t="inlineStr">
        <is>
          <t>4WAY 取り付けOK 小型瞬間冷却ハンディファン</t>
        </is>
      </c>
      <c r="C12" s="3" t="inlineStr">
        <is>
          <t>ACTIVE</t>
        </is>
      </c>
      <c r="D12" s="3" t="inlineStr">
        <is>
          <t>オレンジ</t>
        </is>
      </c>
      <c r="E12" s="4" t="n">
        <v>1708</v>
      </c>
      <c r="F12" s="5" t="n">
        <v>1730</v>
      </c>
      <c r="G12" s="5">
        <f>F12-E12</f>
        <v/>
      </c>
      <c r="H12" s="3" t="inlineStr">
        <is>
          <t>✅更新済・実測一致  1708→1730</t>
        </is>
      </c>
      <c r="I12" s="15" t="n">
        <v>1730</v>
      </c>
      <c r="J12" s="16">
        <f>I12-F12</f>
        <v/>
      </c>
      <c r="K12" s="17" t="inlineStr">
        <is>
          <t>据置</t>
        </is>
      </c>
    </row>
    <row r="13" ht="13.8" customHeight="1" s="9">
      <c r="A13" s="3" t="n">
        <v>9</v>
      </c>
      <c r="B13" s="3" t="inlineStr">
        <is>
          <t>5WAY腰掛けファン</t>
        </is>
      </c>
      <c r="C13" s="3" t="inlineStr">
        <is>
          <t>ACTIVE</t>
        </is>
      </c>
      <c r="D13" s="3" t="inlineStr">
        <is>
          <t>ブラック</t>
        </is>
      </c>
      <c r="E13" s="4" t="n">
        <v>1853</v>
      </c>
      <c r="F13" s="5" t="n">
        <v>1848</v>
      </c>
      <c r="G13" s="5">
        <f>F13-E13</f>
        <v/>
      </c>
      <c r="H13" s="3" t="inlineStr">
        <is>
          <t>✅更新済・実測一致  1853→1848</t>
        </is>
      </c>
      <c r="I13" s="15" t="n">
        <v>1848</v>
      </c>
      <c r="J13" s="16">
        <f>I13-F13</f>
        <v/>
      </c>
      <c r="K13" s="17" t="inlineStr">
        <is>
          <t>据置</t>
        </is>
      </c>
    </row>
    <row r="14" ht="13.8" customHeight="1" s="9">
      <c r="A14" s="3" t="n">
        <v>10</v>
      </c>
      <c r="B14" s="3" t="inlineStr">
        <is>
          <t>5WAY腰掛けファン</t>
        </is>
      </c>
      <c r="C14" s="3" t="inlineStr">
        <is>
          <t>ACTIVE</t>
        </is>
      </c>
      <c r="D14" s="3" t="inlineStr">
        <is>
          <t>ホワイト</t>
        </is>
      </c>
      <c r="E14" s="4" t="n">
        <v>1853</v>
      </c>
      <c r="F14" s="5" t="n">
        <v>1848</v>
      </c>
      <c r="G14" s="5">
        <f>F14-E14</f>
        <v/>
      </c>
      <c r="H14" s="3" t="inlineStr">
        <is>
          <t>✅更新済・実測一致  1853→1848</t>
        </is>
      </c>
      <c r="I14" s="15" t="n">
        <v>1848</v>
      </c>
      <c r="J14" s="16">
        <f>I14-F14</f>
        <v/>
      </c>
      <c r="K14" s="17" t="inlineStr">
        <is>
          <t>据置</t>
        </is>
      </c>
    </row>
    <row r="15" ht="13.8" customHeight="1" s="9">
      <c r="A15" s="3" t="n">
        <v>11</v>
      </c>
      <c r="B15" s="3" t="inlineStr">
        <is>
          <t>UV歯ブラシ除菌器</t>
        </is>
      </c>
      <c r="C15" s="3" t="inlineStr">
        <is>
          <t>ACTIVE</t>
        </is>
      </c>
      <c r="D15" s="3" t="inlineStr">
        <is>
          <t>ブラック</t>
        </is>
      </c>
      <c r="E15" s="4" t="n">
        <v>3605</v>
      </c>
      <c r="F15" s="5" t="n">
        <v>3480</v>
      </c>
      <c r="G15" s="5">
        <f>F15-E15</f>
        <v/>
      </c>
      <c r="H15" s="3" t="inlineStr">
        <is>
          <t>✅更新済・実測一致  3605→3480</t>
        </is>
      </c>
      <c r="I15" s="12" t="n">
        <v>3240</v>
      </c>
      <c r="J15" s="13">
        <f>I15-F15</f>
        <v/>
      </c>
      <c r="K15" s="14" t="inlineStr">
        <is>
          <t>値下げ -240</t>
        </is>
      </c>
    </row>
    <row r="16" ht="13.8" customHeight="1" s="9">
      <c r="A16" s="3" t="n">
        <v>12</v>
      </c>
      <c r="B16" s="3" t="inlineStr">
        <is>
          <t>UV歯ブラシ除菌器</t>
        </is>
      </c>
      <c r="C16" s="3" t="inlineStr">
        <is>
          <t>ACTIVE</t>
        </is>
      </c>
      <c r="D16" s="3" t="inlineStr">
        <is>
          <t>ホワイト</t>
        </is>
      </c>
      <c r="E16" s="4" t="n">
        <v>3605</v>
      </c>
      <c r="F16" s="5" t="n">
        <v>3480</v>
      </c>
      <c r="G16" s="5">
        <f>F16-E16</f>
        <v/>
      </c>
      <c r="H16" s="3" t="inlineStr">
        <is>
          <t>✅更新済・実測一致  3605→3480</t>
        </is>
      </c>
      <c r="I16" s="12" t="n">
        <v>3240</v>
      </c>
      <c r="J16" s="13">
        <f>I16-F16</f>
        <v/>
      </c>
      <c r="K16" s="14" t="inlineStr">
        <is>
          <t>値下げ -240</t>
        </is>
      </c>
    </row>
    <row r="17" ht="13.8" customHeight="1" s="9">
      <c r="A17" s="3" t="n">
        <v>13</v>
      </c>
      <c r="B17" s="3" t="inlineStr">
        <is>
          <t>オートソープディスペンサー</t>
        </is>
      </c>
      <c r="C17" s="3" t="inlineStr">
        <is>
          <t>ACTIVE</t>
        </is>
      </c>
      <c r="D17" s="3" t="inlineStr">
        <is>
          <t>Default Title</t>
        </is>
      </c>
      <c r="E17" s="4" t="n">
        <v>3269</v>
      </c>
      <c r="F17" s="5" t="n">
        <v>3191</v>
      </c>
      <c r="G17" s="5">
        <f>F17-E17</f>
        <v/>
      </c>
      <c r="H17" s="3" t="inlineStr">
        <is>
          <t>✅更新済・実測一致  3269→3191</t>
        </is>
      </c>
      <c r="I17" s="15" t="n">
        <v>3191</v>
      </c>
      <c r="J17" s="16">
        <f>I17-F17</f>
        <v/>
      </c>
      <c r="K17" s="17" t="inlineStr">
        <is>
          <t>据置</t>
        </is>
      </c>
    </row>
    <row r="18" ht="13.8" customHeight="1" s="9">
      <c r="A18" s="3" t="n">
        <v>14</v>
      </c>
      <c r="B18" s="3" t="inlineStr">
        <is>
          <t>ジェットウォッシャー</t>
        </is>
      </c>
      <c r="C18" s="3" t="inlineStr">
        <is>
          <t>ACTIVE</t>
        </is>
      </c>
      <c r="D18" s="3" t="inlineStr">
        <is>
          <t>グリーン</t>
        </is>
      </c>
      <c r="E18" s="4" t="n">
        <v>1612</v>
      </c>
      <c r="F18" s="5" t="n">
        <v>1398</v>
      </c>
      <c r="G18" s="5">
        <f>F18-E18</f>
        <v/>
      </c>
      <c r="H18" s="3" t="inlineStr">
        <is>
          <t>✅更新済・実測一致  1612→1398</t>
        </is>
      </c>
      <c r="I18" s="12" t="n">
        <v>1259</v>
      </c>
      <c r="J18" s="13">
        <f>I18-F18</f>
        <v/>
      </c>
      <c r="K18" s="14" t="inlineStr">
        <is>
          <t>値下げ -139</t>
        </is>
      </c>
    </row>
    <row r="19" ht="13.8" customHeight="1" s="9">
      <c r="A19" s="3" t="n">
        <v>15</v>
      </c>
      <c r="B19" s="3" t="inlineStr">
        <is>
          <t>ジェットウォッシャー</t>
        </is>
      </c>
      <c r="C19" s="3" t="inlineStr">
        <is>
          <t>ACTIVE</t>
        </is>
      </c>
      <c r="D19" s="3" t="inlineStr">
        <is>
          <t>ピンク</t>
        </is>
      </c>
      <c r="E19" s="4" t="n">
        <v>1612</v>
      </c>
      <c r="F19" s="5" t="n">
        <v>1398</v>
      </c>
      <c r="G19" s="5">
        <f>F19-E19</f>
        <v/>
      </c>
      <c r="H19" s="3" t="inlineStr">
        <is>
          <t>✅更新済・実測一致  1612→1398</t>
        </is>
      </c>
      <c r="I19" s="12" t="n">
        <v>1259</v>
      </c>
      <c r="J19" s="13">
        <f>I19-F19</f>
        <v/>
      </c>
      <c r="K19" s="14" t="inlineStr">
        <is>
          <t>値下げ -139</t>
        </is>
      </c>
    </row>
    <row r="20" ht="13.8" customHeight="1" s="9">
      <c r="A20" s="3" t="n">
        <v>16</v>
      </c>
      <c r="B20" s="3" t="inlineStr">
        <is>
          <t>ジェットウォッシャー</t>
        </is>
      </c>
      <c r="C20" s="3" t="inlineStr">
        <is>
          <t>ACTIVE</t>
        </is>
      </c>
      <c r="D20" s="3" t="inlineStr">
        <is>
          <t>ホワイト</t>
        </is>
      </c>
      <c r="E20" s="4" t="n">
        <v>1612</v>
      </c>
      <c r="F20" s="5" t="n">
        <v>1398</v>
      </c>
      <c r="G20" s="5">
        <f>F20-E20</f>
        <v/>
      </c>
      <c r="H20" s="3" t="inlineStr">
        <is>
          <t>✅更新済・実測一致  1612→1398</t>
        </is>
      </c>
      <c r="I20" s="12" t="n">
        <v>1259</v>
      </c>
      <c r="J20" s="13">
        <f>I20-F20</f>
        <v/>
      </c>
      <c r="K20" s="14" t="inlineStr">
        <is>
          <t>値下げ -139</t>
        </is>
      </c>
    </row>
    <row r="21" ht="13.8" customHeight="1" s="9">
      <c r="A21" s="3" t="n">
        <v>17</v>
      </c>
      <c r="B21" s="3" t="inlineStr">
        <is>
          <t>スタイルアップインナー</t>
        </is>
      </c>
      <c r="C21" s="3" t="inlineStr">
        <is>
          <t>ACTIVE</t>
        </is>
      </c>
      <c r="D21" s="3" t="inlineStr">
        <is>
          <t>シャドウブラック / S</t>
        </is>
      </c>
      <c r="E21" s="4" t="n">
        <v>1578</v>
      </c>
      <c r="F21" s="5" t="n">
        <v>1213</v>
      </c>
      <c r="G21" s="5">
        <f>F21-E21</f>
        <v/>
      </c>
      <c r="H21" s="3" t="inlineStr">
        <is>
          <t>✅更新済・実測一致  1578→1213</t>
        </is>
      </c>
      <c r="I21" s="12" t="n">
        <v>1202</v>
      </c>
      <c r="J21" s="13">
        <f>I21-F21</f>
        <v/>
      </c>
      <c r="K21" s="14" t="inlineStr">
        <is>
          <t>値下げ -11</t>
        </is>
      </c>
    </row>
    <row r="22" ht="13.8" customHeight="1" s="9">
      <c r="A22" s="3" t="n">
        <v>18</v>
      </c>
      <c r="B22" s="3" t="inlineStr">
        <is>
          <t>スタイルアップインナー</t>
        </is>
      </c>
      <c r="C22" s="3" t="inlineStr">
        <is>
          <t>ACTIVE</t>
        </is>
      </c>
      <c r="D22" s="3" t="inlineStr">
        <is>
          <t>シャドウブラック / M</t>
        </is>
      </c>
      <c r="E22" s="4" t="n">
        <v>1578</v>
      </c>
      <c r="F22" s="5" t="n">
        <v>1213</v>
      </c>
      <c r="G22" s="5">
        <f>F22-E22</f>
        <v/>
      </c>
      <c r="H22" s="3" t="inlineStr">
        <is>
          <t>✅更新済・実測一致  1578→1213</t>
        </is>
      </c>
      <c r="I22" s="12" t="n">
        <v>1202</v>
      </c>
      <c r="J22" s="13">
        <f>I22-F22</f>
        <v/>
      </c>
      <c r="K22" s="14" t="inlineStr">
        <is>
          <t>値下げ -11</t>
        </is>
      </c>
    </row>
    <row r="23" ht="13.8" customHeight="1" s="9">
      <c r="A23" s="3" t="n">
        <v>19</v>
      </c>
      <c r="B23" s="3" t="inlineStr">
        <is>
          <t>スタイルアップインナー</t>
        </is>
      </c>
      <c r="C23" s="3" t="inlineStr">
        <is>
          <t>ACTIVE</t>
        </is>
      </c>
      <c r="D23" s="3" t="inlineStr">
        <is>
          <t>シャドウブラック / L</t>
        </is>
      </c>
      <c r="E23" s="4" t="n">
        <v>1578</v>
      </c>
      <c r="F23" s="5" t="n">
        <v>1213</v>
      </c>
      <c r="G23" s="5">
        <f>F23-E23</f>
        <v/>
      </c>
      <c r="H23" s="3" t="inlineStr">
        <is>
          <t>✅更新済・実測一致  1578→1213</t>
        </is>
      </c>
      <c r="I23" s="12" t="n">
        <v>1202</v>
      </c>
      <c r="J23" s="13">
        <f>I23-F23</f>
        <v/>
      </c>
      <c r="K23" s="14" t="inlineStr">
        <is>
          <t>値下げ -11</t>
        </is>
      </c>
    </row>
    <row r="24" ht="13.8" customHeight="1" s="9">
      <c r="A24" s="3" t="n">
        <v>20</v>
      </c>
      <c r="B24" s="3" t="inlineStr">
        <is>
          <t>スタイルアップインナー</t>
        </is>
      </c>
      <c r="C24" s="3" t="inlineStr">
        <is>
          <t>ACTIVE</t>
        </is>
      </c>
      <c r="D24" s="3" t="inlineStr">
        <is>
          <t>シャドウブラック / 2L</t>
        </is>
      </c>
      <c r="E24" s="4" t="n">
        <v>1578</v>
      </c>
      <c r="F24" s="5" t="n">
        <v>1213</v>
      </c>
      <c r="G24" s="5">
        <f>F24-E24</f>
        <v/>
      </c>
      <c r="H24" s="3" t="inlineStr">
        <is>
          <t>✅更新済・実測一致  1578→1213</t>
        </is>
      </c>
      <c r="I24" s="12" t="n">
        <v>1202</v>
      </c>
      <c r="J24" s="13">
        <f>I24-F24</f>
        <v/>
      </c>
      <c r="K24" s="14" t="inlineStr">
        <is>
          <t>値下げ -11</t>
        </is>
      </c>
    </row>
    <row r="25" ht="13.8" customHeight="1" s="9">
      <c r="A25" s="3" t="n">
        <v>21</v>
      </c>
      <c r="B25" s="3" t="inlineStr">
        <is>
          <t>スタイルアップインナー</t>
        </is>
      </c>
      <c r="C25" s="3" t="inlineStr">
        <is>
          <t>ACTIVE</t>
        </is>
      </c>
      <c r="D25" s="3" t="inlineStr">
        <is>
          <t>アイボリーベージュ / S</t>
        </is>
      </c>
      <c r="E25" s="4" t="n">
        <v>1578</v>
      </c>
      <c r="F25" s="5" t="n">
        <v>1213</v>
      </c>
      <c r="G25" s="5">
        <f>F25-E25</f>
        <v/>
      </c>
      <c r="H25" s="3" t="inlineStr">
        <is>
          <t>✅更新済・実測一致  1578→1213</t>
        </is>
      </c>
      <c r="I25" s="12" t="n">
        <v>1202</v>
      </c>
      <c r="J25" s="13">
        <f>I25-F25</f>
        <v/>
      </c>
      <c r="K25" s="14" t="inlineStr">
        <is>
          <t>値下げ -11</t>
        </is>
      </c>
    </row>
    <row r="26" ht="13.8" customHeight="1" s="9">
      <c r="A26" s="3" t="n">
        <v>22</v>
      </c>
      <c r="B26" s="3" t="inlineStr">
        <is>
          <t>スタイルアップインナー</t>
        </is>
      </c>
      <c r="C26" s="3" t="inlineStr">
        <is>
          <t>ACTIVE</t>
        </is>
      </c>
      <c r="D26" s="3" t="inlineStr">
        <is>
          <t>アイボリーベージュ / M</t>
        </is>
      </c>
      <c r="E26" s="4" t="n">
        <v>1578</v>
      </c>
      <c r="F26" s="5" t="n">
        <v>1213</v>
      </c>
      <c r="G26" s="5">
        <f>F26-E26</f>
        <v/>
      </c>
      <c r="H26" s="3" t="inlineStr">
        <is>
          <t>✅更新済・実測一致  1578→1213</t>
        </is>
      </c>
      <c r="I26" s="12" t="n">
        <v>1202</v>
      </c>
      <c r="J26" s="13">
        <f>I26-F26</f>
        <v/>
      </c>
      <c r="K26" s="14" t="inlineStr">
        <is>
          <t>値下げ -11</t>
        </is>
      </c>
    </row>
    <row r="27" ht="13.8" customHeight="1" s="9">
      <c r="A27" s="3" t="n">
        <v>23</v>
      </c>
      <c r="B27" s="3" t="inlineStr">
        <is>
          <t>スタイルアップインナー</t>
        </is>
      </c>
      <c r="C27" s="3" t="inlineStr">
        <is>
          <t>ACTIVE</t>
        </is>
      </c>
      <c r="D27" s="3" t="inlineStr">
        <is>
          <t>アイボリーベージュ / L</t>
        </is>
      </c>
      <c r="E27" s="4" t="n">
        <v>1578</v>
      </c>
      <c r="F27" s="5" t="n">
        <v>1213</v>
      </c>
      <c r="G27" s="5">
        <f>F27-E27</f>
        <v/>
      </c>
      <c r="H27" s="3" t="inlineStr">
        <is>
          <t>✅更新済・実測一致  1578→1213</t>
        </is>
      </c>
      <c r="I27" s="12" t="n">
        <v>1202</v>
      </c>
      <c r="J27" s="13">
        <f>I27-F27</f>
        <v/>
      </c>
      <c r="K27" s="14" t="inlineStr">
        <is>
          <t>値下げ -11</t>
        </is>
      </c>
    </row>
    <row r="28" ht="13.8" customHeight="1" s="9">
      <c r="A28" s="3" t="n">
        <v>24</v>
      </c>
      <c r="B28" s="3" t="inlineStr">
        <is>
          <t>スタイルアップインナー</t>
        </is>
      </c>
      <c r="C28" s="3" t="inlineStr">
        <is>
          <t>ACTIVE</t>
        </is>
      </c>
      <c r="D28" s="3" t="inlineStr">
        <is>
          <t>アイボリーベージュ / 2L</t>
        </is>
      </c>
      <c r="E28" s="4" t="n">
        <v>1578</v>
      </c>
      <c r="F28" s="5" t="n">
        <v>1213</v>
      </c>
      <c r="G28" s="5">
        <f>F28-E28</f>
        <v/>
      </c>
      <c r="H28" s="3" t="inlineStr">
        <is>
          <t>✅更新済・実測一致  1578→1213</t>
        </is>
      </c>
      <c r="I28" s="12" t="n">
        <v>1202</v>
      </c>
      <c r="J28" s="13">
        <f>I28-F28</f>
        <v/>
      </c>
      <c r="K28" s="14" t="inlineStr">
        <is>
          <t>値下げ -11</t>
        </is>
      </c>
    </row>
    <row r="29" ht="13.8" customHeight="1" s="9">
      <c r="A29" s="3" t="n">
        <v>25</v>
      </c>
      <c r="B29" s="3" t="inlineStr">
        <is>
          <t>スマートノーズEMS美顔器</t>
        </is>
      </c>
      <c r="C29" s="3" t="inlineStr">
        <is>
          <t>ACTIVE</t>
        </is>
      </c>
      <c r="D29" s="3" t="inlineStr">
        <is>
          <t>Default Title</t>
        </is>
      </c>
      <c r="E29" s="4" t="n">
        <v>2489</v>
      </c>
      <c r="F29" s="5" t="n">
        <v>2453</v>
      </c>
      <c r="G29" s="5">
        <f>F29-E29</f>
        <v/>
      </c>
      <c r="H29" s="3" t="inlineStr">
        <is>
          <t>✅更新済・実測一致  2489→2453</t>
        </is>
      </c>
      <c r="I29" s="15" t="n">
        <v>2453</v>
      </c>
      <c r="J29" s="16">
        <f>I29-F29</f>
        <v/>
      </c>
      <c r="K29" s="17" t="inlineStr">
        <is>
          <t>据置</t>
        </is>
      </c>
    </row>
    <row r="30" ht="13.8" customHeight="1" s="9">
      <c r="A30" s="3" t="n">
        <v>26</v>
      </c>
      <c r="B30" s="3" t="inlineStr">
        <is>
          <t>ナノガラス脱毛パッド</t>
        </is>
      </c>
      <c r="C30" s="3" t="inlineStr">
        <is>
          <t>ACTIVE</t>
        </is>
      </c>
      <c r="D30" s="3" t="inlineStr">
        <is>
          <t>ピュアホワイト</t>
        </is>
      </c>
      <c r="E30" s="4" t="n">
        <v>747</v>
      </c>
      <c r="F30" s="5" t="n">
        <v>757</v>
      </c>
      <c r="G30" s="5">
        <f>F30-E30</f>
        <v/>
      </c>
      <c r="H30" s="3" t="inlineStr">
        <is>
          <t>✅更新済・実測一致  747→757</t>
        </is>
      </c>
      <c r="I30" s="15" t="n">
        <v>757</v>
      </c>
      <c r="J30" s="16">
        <f>I30-F30</f>
        <v/>
      </c>
      <c r="K30" s="17" t="inlineStr">
        <is>
          <t>据置</t>
        </is>
      </c>
    </row>
    <row r="31" ht="13.8" customHeight="1" s="9">
      <c r="A31" s="3" t="n">
        <v>27</v>
      </c>
      <c r="B31" s="3" t="inlineStr">
        <is>
          <t>ナノガラス脱毛パッド</t>
        </is>
      </c>
      <c r="C31" s="3" t="inlineStr">
        <is>
          <t>ACTIVE</t>
        </is>
      </c>
      <c r="D31" s="3" t="inlineStr">
        <is>
          <t>マットブラック</t>
        </is>
      </c>
      <c r="E31" s="4" t="n">
        <v>747</v>
      </c>
      <c r="F31" s="5" t="n">
        <v>740</v>
      </c>
      <c r="G31" s="5">
        <f>F31-E31</f>
        <v/>
      </c>
      <c r="H31" s="3" t="inlineStr">
        <is>
          <t>✅更新済・実測一致  747→740</t>
        </is>
      </c>
      <c r="I31" s="15" t="n">
        <v>740</v>
      </c>
      <c r="J31" s="16">
        <f>I31-F31</f>
        <v/>
      </c>
      <c r="K31" s="17" t="inlineStr">
        <is>
          <t>据置</t>
        </is>
      </c>
    </row>
    <row r="32" ht="13.8" customHeight="1" s="9">
      <c r="A32" s="3" t="n">
        <v>28</v>
      </c>
      <c r="B32" s="3" t="inlineStr">
        <is>
          <t>ナノガラス脱毛パッド</t>
        </is>
      </c>
      <c r="C32" s="3" t="inlineStr">
        <is>
          <t>ACTIVE</t>
        </is>
      </c>
      <c r="D32" s="3" t="inlineStr">
        <is>
          <t>セージグリーン</t>
        </is>
      </c>
      <c r="E32" s="4" t="n">
        <v>747</v>
      </c>
      <c r="F32" s="5" t="n">
        <v>757</v>
      </c>
      <c r="G32" s="5">
        <f>F32-E32</f>
        <v/>
      </c>
      <c r="H32" s="3" t="inlineStr">
        <is>
          <t>✅更新済・実測一致  747→757</t>
        </is>
      </c>
      <c r="I32" s="15" t="n">
        <v>757</v>
      </c>
      <c r="J32" s="16">
        <f>I32-F32</f>
        <v/>
      </c>
      <c r="K32" s="17" t="inlineStr">
        <is>
          <t>据置</t>
        </is>
      </c>
    </row>
    <row r="33" ht="13.8" customHeight="1" s="9">
      <c r="A33" s="3" t="n">
        <v>29</v>
      </c>
      <c r="B33" s="3" t="inlineStr">
        <is>
          <t>ナノガラス脱毛パッド</t>
        </is>
      </c>
      <c r="C33" s="3" t="inlineStr">
        <is>
          <t>ACTIVE</t>
        </is>
      </c>
      <c r="D33" s="3" t="inlineStr">
        <is>
          <t>ベイビーピンク</t>
        </is>
      </c>
      <c r="E33" s="4" t="n">
        <v>747</v>
      </c>
      <c r="F33" s="5" t="n">
        <v>740</v>
      </c>
      <c r="G33" s="5">
        <f>F33-E33</f>
        <v/>
      </c>
      <c r="H33" s="3" t="inlineStr">
        <is>
          <t>✅更新済・実測一致  747→740</t>
        </is>
      </c>
      <c r="I33" s="15" t="n">
        <v>740</v>
      </c>
      <c r="J33" s="16">
        <f>I33-F33</f>
        <v/>
      </c>
      <c r="K33" s="17" t="inlineStr">
        <is>
          <t>据置</t>
        </is>
      </c>
    </row>
    <row r="34" ht="13.8" customHeight="1" s="9">
      <c r="A34" s="3" t="n">
        <v>30</v>
      </c>
      <c r="B34" s="3" t="inlineStr">
        <is>
          <t>ナノバブルシャワーヘッド</t>
        </is>
      </c>
      <c r="C34" s="3" t="inlineStr">
        <is>
          <t>ACTIVE</t>
        </is>
      </c>
      <c r="D34" s="3" t="inlineStr">
        <is>
          <t>Default Title</t>
        </is>
      </c>
      <c r="E34" s="4" t="n">
        <v>2636</v>
      </c>
      <c r="F34" s="5" t="n">
        <v>2333</v>
      </c>
      <c r="G34" s="5">
        <f>F34-E34</f>
        <v/>
      </c>
      <c r="H34" s="3" t="inlineStr">
        <is>
          <t>✅更新済・実測一致  2636→2333</t>
        </is>
      </c>
      <c r="I34" s="12" t="n">
        <v>2255</v>
      </c>
      <c r="J34" s="13">
        <f>I34-F34</f>
        <v/>
      </c>
      <c r="K34" s="14" t="inlineStr">
        <is>
          <t>値下げ -78</t>
        </is>
      </c>
    </row>
    <row r="35" ht="13.8" customHeight="1" s="9">
      <c r="A35" s="3" t="n">
        <v>31</v>
      </c>
      <c r="B35" s="3" t="inlineStr">
        <is>
          <t>ネックマッサージャー</t>
        </is>
      </c>
      <c r="C35" s="3" t="inlineStr">
        <is>
          <t>ACTIVE</t>
        </is>
      </c>
      <c r="D35" s="3" t="inlineStr">
        <is>
          <t>Default Title</t>
        </is>
      </c>
      <c r="E35" s="4" t="n">
        <v>5553</v>
      </c>
      <c r="F35" s="5" t="n">
        <v>3136</v>
      </c>
      <c r="G35" s="5">
        <f>F35-E35</f>
        <v/>
      </c>
      <c r="H35" s="3" t="inlineStr">
        <is>
          <t>✅更新済・実測一致  5553→3136</t>
        </is>
      </c>
      <c r="I35" s="12" t="n">
        <v>3034</v>
      </c>
      <c r="J35" s="13">
        <f>I35-F35</f>
        <v/>
      </c>
      <c r="K35" s="14" t="inlineStr">
        <is>
          <t>値下げ -102</t>
        </is>
      </c>
    </row>
    <row r="36" ht="13.8" customHeight="1" s="9">
      <c r="A36" s="3" t="n">
        <v>32</v>
      </c>
      <c r="B36" s="3" t="inlineStr">
        <is>
          <t>バランスケアスリッパ</t>
        </is>
      </c>
      <c r="C36" s="3" t="inlineStr">
        <is>
          <t>ACTIVE</t>
        </is>
      </c>
      <c r="D36" s="3" t="inlineStr">
        <is>
          <t>ブラック</t>
        </is>
      </c>
      <c r="E36" s="4" t="n">
        <v>1288</v>
      </c>
      <c r="F36" s="5" t="n">
        <v>1304</v>
      </c>
      <c r="G36" s="5">
        <f>F36-E36</f>
        <v/>
      </c>
      <c r="H36" s="3" t="inlineStr">
        <is>
          <t>✅更新済・実測一致  1288→1304</t>
        </is>
      </c>
      <c r="I36" s="15" t="n">
        <v>1304</v>
      </c>
      <c r="J36" s="16">
        <f>I36-F36</f>
        <v/>
      </c>
      <c r="K36" s="17" t="inlineStr">
        <is>
          <t>据置</t>
        </is>
      </c>
    </row>
    <row r="37" ht="13.8" customHeight="1" s="9">
      <c r="A37" s="3" t="n">
        <v>33</v>
      </c>
      <c r="B37" s="3" t="inlineStr">
        <is>
          <t>バランスケアスリッパ</t>
        </is>
      </c>
      <c r="C37" s="3" t="inlineStr">
        <is>
          <t>ACTIVE</t>
        </is>
      </c>
      <c r="D37" s="3" t="inlineStr">
        <is>
          <t>グレー</t>
        </is>
      </c>
      <c r="E37" s="4" t="n">
        <v>1288</v>
      </c>
      <c r="F37" s="5" t="n">
        <v>1304</v>
      </c>
      <c r="G37" s="5">
        <f>F37-E37</f>
        <v/>
      </c>
      <c r="H37" s="3" t="inlineStr">
        <is>
          <t>✅更新済・実測一致  1288→1304</t>
        </is>
      </c>
      <c r="I37" s="15" t="n">
        <v>1304</v>
      </c>
      <c r="J37" s="16">
        <f>I37-F37</f>
        <v/>
      </c>
      <c r="K37" s="17" t="inlineStr">
        <is>
          <t>据置</t>
        </is>
      </c>
    </row>
    <row r="38" ht="13.8" customHeight="1" s="9">
      <c r="A38" s="3" t="n">
        <v>34</v>
      </c>
      <c r="B38" s="3" t="inlineStr">
        <is>
          <t>バランスケアスリッパ</t>
        </is>
      </c>
      <c r="C38" s="3" t="inlineStr">
        <is>
          <t>ACTIVE</t>
        </is>
      </c>
      <c r="D38" s="3" t="inlineStr">
        <is>
          <t>ピンク</t>
        </is>
      </c>
      <c r="E38" s="4" t="n">
        <v>1288</v>
      </c>
      <c r="F38" s="5" t="n">
        <v>1304</v>
      </c>
      <c r="G38" s="5">
        <f>F38-E38</f>
        <v/>
      </c>
      <c r="H38" s="3" t="inlineStr">
        <is>
          <t>✅更新済・実測一致  1288→1304</t>
        </is>
      </c>
      <c r="I38" s="15" t="n">
        <v>1304</v>
      </c>
      <c r="J38" s="16">
        <f>I38-F38</f>
        <v/>
      </c>
      <c r="K38" s="17" t="inlineStr">
        <is>
          <t>据置</t>
        </is>
      </c>
    </row>
    <row r="39" ht="13.8" customHeight="1" s="9">
      <c r="A39" s="3" t="n">
        <v>35</v>
      </c>
      <c r="B39" s="3" t="inlineStr">
        <is>
          <t>バランスケアスリッパ</t>
        </is>
      </c>
      <c r="C39" s="3" t="inlineStr">
        <is>
          <t>ACTIVE</t>
        </is>
      </c>
      <c r="D39" s="3" t="inlineStr">
        <is>
          <t>ローズレッド</t>
        </is>
      </c>
      <c r="E39" s="4" t="n">
        <v>1288</v>
      </c>
      <c r="F39" s="5" t="n">
        <v>1304</v>
      </c>
      <c r="G39" s="5">
        <f>F39-E39</f>
        <v/>
      </c>
      <c r="H39" s="3" t="inlineStr">
        <is>
          <t>✅更新済・実測一致  1288→1304</t>
        </is>
      </c>
      <c r="I39" s="15" t="n">
        <v>1304</v>
      </c>
      <c r="J39" s="16">
        <f>I39-F39</f>
        <v/>
      </c>
      <c r="K39" s="17" t="inlineStr">
        <is>
          <t>据置</t>
        </is>
      </c>
    </row>
    <row r="40" ht="13.8" customHeight="1" s="9">
      <c r="A40" s="3" t="n">
        <v>36</v>
      </c>
      <c r="B40" s="3" t="inlineStr">
        <is>
          <t>ムダ毛シェーバー</t>
        </is>
      </c>
      <c r="C40" s="3" t="inlineStr">
        <is>
          <t>ACTIVE</t>
        </is>
      </c>
      <c r="D40" s="3" t="inlineStr">
        <is>
          <t>ブラック</t>
        </is>
      </c>
      <c r="E40" s="4" t="n">
        <v>2800</v>
      </c>
      <c r="F40" s="5" t="n">
        <v>2798</v>
      </c>
      <c r="G40" s="5">
        <f>F40-E40</f>
        <v/>
      </c>
      <c r="H40" s="3" t="inlineStr">
        <is>
          <t>✅更新済・実測一致  2800→2798</t>
        </is>
      </c>
      <c r="I40" s="15" t="n">
        <v>2798</v>
      </c>
      <c r="J40" s="16">
        <f>I40-F40</f>
        <v/>
      </c>
      <c r="K40" s="17" t="inlineStr">
        <is>
          <t>据置</t>
        </is>
      </c>
    </row>
    <row r="41" ht="13.8" customHeight="1" s="9">
      <c r="A41" s="3" t="n">
        <v>37</v>
      </c>
      <c r="B41" s="3" t="inlineStr">
        <is>
          <t>ムダ毛シェーバー</t>
        </is>
      </c>
      <c r="C41" s="3" t="inlineStr">
        <is>
          <t>ACTIVE</t>
        </is>
      </c>
      <c r="D41" s="3" t="inlineStr">
        <is>
          <t>ブルー</t>
        </is>
      </c>
      <c r="E41" s="4" t="n">
        <v>2800</v>
      </c>
      <c r="F41" s="5" t="n">
        <v>2798</v>
      </c>
      <c r="G41" s="5">
        <f>F41-E41</f>
        <v/>
      </c>
      <c r="H41" s="3" t="inlineStr">
        <is>
          <t>✅更新済・実測一致  2800→2798</t>
        </is>
      </c>
      <c r="I41" s="15" t="n">
        <v>2798</v>
      </c>
      <c r="J41" s="16">
        <f>I41-F41</f>
        <v/>
      </c>
      <c r="K41" s="17" t="inlineStr">
        <is>
          <t>据置</t>
        </is>
      </c>
    </row>
    <row r="42" ht="13.8" customHeight="1" s="9">
      <c r="A42" s="3" t="n">
        <v>38</v>
      </c>
      <c r="B42" s="3" t="inlineStr">
        <is>
          <t>ムダ毛シェーバー</t>
        </is>
      </c>
      <c r="C42" s="3" t="inlineStr">
        <is>
          <t>ACTIVE</t>
        </is>
      </c>
      <c r="D42" s="3" t="inlineStr">
        <is>
          <t>ホワイト</t>
        </is>
      </c>
      <c r="E42" s="4" t="n">
        <v>2800</v>
      </c>
      <c r="F42" s="5" t="n">
        <v>2798</v>
      </c>
      <c r="G42" s="5">
        <f>F42-E42</f>
        <v/>
      </c>
      <c r="H42" s="3" t="inlineStr">
        <is>
          <t>✅更新済・実測一致  2800→2798</t>
        </is>
      </c>
      <c r="I42" s="15" t="n">
        <v>2798</v>
      </c>
      <c r="J42" s="16">
        <f>I42-F42</f>
        <v/>
      </c>
      <c r="K42" s="17" t="inlineStr">
        <is>
          <t>据置</t>
        </is>
      </c>
    </row>
    <row r="43" ht="13.8" customHeight="1" s="9">
      <c r="A43" s="3" t="n">
        <v>39</v>
      </c>
      <c r="B43" s="3" t="inlineStr">
        <is>
          <t>リカバリーサンダル</t>
        </is>
      </c>
      <c r="C43" s="3" t="inlineStr">
        <is>
          <t>ACTIVE</t>
        </is>
      </c>
      <c r="D43" s="3" t="inlineStr">
        <is>
          <t>ブラック / 25.0〜25.5cm</t>
        </is>
      </c>
      <c r="E43" s="4" t="n">
        <v>1484</v>
      </c>
      <c r="F43" s="5" t="n">
        <v>1375</v>
      </c>
      <c r="G43" s="5">
        <f>F43-E43</f>
        <v/>
      </c>
      <c r="H43" s="3" t="inlineStr">
        <is>
          <t>✅更新済・実測一致  1484→1375</t>
        </is>
      </c>
      <c r="I43" s="12" t="n">
        <v>1309</v>
      </c>
      <c r="J43" s="13">
        <f>I43-F43</f>
        <v/>
      </c>
      <c r="K43" s="14" t="inlineStr">
        <is>
          <t>値下げ -66</t>
        </is>
      </c>
    </row>
    <row r="44" ht="13.8" customHeight="1" s="9">
      <c r="A44" s="3" t="n">
        <v>40</v>
      </c>
      <c r="B44" s="3" t="inlineStr">
        <is>
          <t>リカバリーサンダル</t>
        </is>
      </c>
      <c r="C44" s="3" t="inlineStr">
        <is>
          <t>ACTIVE</t>
        </is>
      </c>
      <c r="D44" s="3" t="inlineStr">
        <is>
          <t>ブラック / 26.0〜26.5cm</t>
        </is>
      </c>
      <c r="E44" s="4" t="n">
        <v>1484</v>
      </c>
      <c r="F44" s="5" t="n">
        <v>1375</v>
      </c>
      <c r="G44" s="5">
        <f>F44-E44</f>
        <v/>
      </c>
      <c r="H44" s="3" t="inlineStr">
        <is>
          <t>✅更新済・実測一致  1484→1375</t>
        </is>
      </c>
      <c r="I44" s="12" t="n">
        <v>1309</v>
      </c>
      <c r="J44" s="13">
        <f>I44-F44</f>
        <v/>
      </c>
      <c r="K44" s="14" t="inlineStr">
        <is>
          <t>値下げ -66</t>
        </is>
      </c>
    </row>
    <row r="45" ht="13.8" customHeight="1" s="9">
      <c r="A45" s="3" t="n">
        <v>41</v>
      </c>
      <c r="B45" s="3" t="inlineStr">
        <is>
          <t>リカバリーサンダル</t>
        </is>
      </c>
      <c r="C45" s="3" t="inlineStr">
        <is>
          <t>ACTIVE</t>
        </is>
      </c>
      <c r="D45" s="3" t="inlineStr">
        <is>
          <t>ブラック / 27.0cm〜</t>
        </is>
      </c>
      <c r="E45" s="4" t="n">
        <v>1484</v>
      </c>
      <c r="F45" s="5" t="n">
        <v>1375</v>
      </c>
      <c r="G45" s="5">
        <f>F45-E45</f>
        <v/>
      </c>
      <c r="H45" s="3" t="inlineStr">
        <is>
          <t>✅更新済・実測一致  1484→1375</t>
        </is>
      </c>
      <c r="I45" s="12" t="n">
        <v>1309</v>
      </c>
      <c r="J45" s="13">
        <f>I45-F45</f>
        <v/>
      </c>
      <c r="K45" s="14" t="inlineStr">
        <is>
          <t>値下げ -66</t>
        </is>
      </c>
    </row>
    <row r="46" ht="13.8" customHeight="1" s="9">
      <c r="A46" s="3" t="n">
        <v>42</v>
      </c>
      <c r="B46" s="3" t="inlineStr">
        <is>
          <t>リカバリーサンダル</t>
        </is>
      </c>
      <c r="C46" s="3" t="inlineStr">
        <is>
          <t>ACTIVE</t>
        </is>
      </c>
      <c r="D46" s="3" t="inlineStr">
        <is>
          <t>グレー / 25.0〜25.5cm</t>
        </is>
      </c>
      <c r="E46" s="4" t="n">
        <v>1484</v>
      </c>
      <c r="F46" s="5" t="n">
        <v>1375</v>
      </c>
      <c r="G46" s="5">
        <f>F46-E46</f>
        <v/>
      </c>
      <c r="H46" s="3" t="inlineStr">
        <is>
          <t>✅更新済・実測一致  1484→1375</t>
        </is>
      </c>
      <c r="I46" s="12" t="n">
        <v>1309</v>
      </c>
      <c r="J46" s="13">
        <f>I46-F46</f>
        <v/>
      </c>
      <c r="K46" s="14" t="inlineStr">
        <is>
          <t>値下げ -66</t>
        </is>
      </c>
    </row>
    <row r="47" ht="13.8" customHeight="1" s="9">
      <c r="A47" s="3" t="n">
        <v>43</v>
      </c>
      <c r="B47" s="3" t="inlineStr">
        <is>
          <t>リカバリーサンダル</t>
        </is>
      </c>
      <c r="C47" s="3" t="inlineStr">
        <is>
          <t>ACTIVE</t>
        </is>
      </c>
      <c r="D47" s="3" t="inlineStr">
        <is>
          <t>グレー / 26.0〜26.5cm</t>
        </is>
      </c>
      <c r="E47" s="4" t="n">
        <v>1484</v>
      </c>
      <c r="F47" s="5" t="n">
        <v>1375</v>
      </c>
      <c r="G47" s="5">
        <f>F47-E47</f>
        <v/>
      </c>
      <c r="H47" s="3" t="inlineStr">
        <is>
          <t>✅更新済・実測一致  1484→1375</t>
        </is>
      </c>
      <c r="I47" s="12" t="n">
        <v>1309</v>
      </c>
      <c r="J47" s="13">
        <f>I47-F47</f>
        <v/>
      </c>
      <c r="K47" s="14" t="inlineStr">
        <is>
          <t>値下げ -66</t>
        </is>
      </c>
    </row>
    <row r="48" ht="13.8" customHeight="1" s="9">
      <c r="A48" s="3" t="n">
        <v>44</v>
      </c>
      <c r="B48" s="3" t="inlineStr">
        <is>
          <t>リカバリーサンダル</t>
        </is>
      </c>
      <c r="C48" s="3" t="inlineStr">
        <is>
          <t>ACTIVE</t>
        </is>
      </c>
      <c r="D48" s="3" t="inlineStr">
        <is>
          <t>グレー / 27.0cm〜</t>
        </is>
      </c>
      <c r="E48" s="4" t="n">
        <v>1484</v>
      </c>
      <c r="F48" s="5" t="n">
        <v>1375</v>
      </c>
      <c r="G48" s="5">
        <f>F48-E48</f>
        <v/>
      </c>
      <c r="H48" s="3" t="inlineStr">
        <is>
          <t>✅更新済・実測一致  1484→1375</t>
        </is>
      </c>
      <c r="I48" s="12" t="n">
        <v>1309</v>
      </c>
      <c r="J48" s="13">
        <f>I48-F48</f>
        <v/>
      </c>
      <c r="K48" s="14" t="inlineStr">
        <is>
          <t>値下げ -66</t>
        </is>
      </c>
    </row>
    <row r="49" ht="13.8" customHeight="1" s="9">
      <c r="A49" s="3" t="n">
        <v>45</v>
      </c>
      <c r="B49" s="3" t="inlineStr">
        <is>
          <t>リカバリーサンダル</t>
        </is>
      </c>
      <c r="C49" s="3" t="inlineStr">
        <is>
          <t>ACTIVE</t>
        </is>
      </c>
      <c r="D49" s="3" t="inlineStr">
        <is>
          <t>カーキ / 23.0〜23.5cm</t>
        </is>
      </c>
      <c r="E49" s="4" t="n">
        <v>1484</v>
      </c>
      <c r="F49" s="5" t="n">
        <v>1375</v>
      </c>
      <c r="G49" s="5">
        <f>F49-E49</f>
        <v/>
      </c>
      <c r="H49" s="3" t="inlineStr">
        <is>
          <t>✅更新済・実測一致  1484→1375</t>
        </is>
      </c>
      <c r="I49" s="12" t="n">
        <v>1309</v>
      </c>
      <c r="J49" s="13">
        <f>I49-F49</f>
        <v/>
      </c>
      <c r="K49" s="14" t="inlineStr">
        <is>
          <t>値下げ -66</t>
        </is>
      </c>
    </row>
    <row r="50" ht="13.8" customHeight="1" s="9">
      <c r="A50" s="3" t="n">
        <v>46</v>
      </c>
      <c r="B50" s="3" t="inlineStr">
        <is>
          <t>リカバリーサンダル</t>
        </is>
      </c>
      <c r="C50" s="3" t="inlineStr">
        <is>
          <t>ACTIVE</t>
        </is>
      </c>
      <c r="D50" s="3" t="inlineStr">
        <is>
          <t>カーキ / 24.0〜24.5cm</t>
        </is>
      </c>
      <c r="E50" s="4" t="n">
        <v>1484</v>
      </c>
      <c r="F50" s="5" t="n">
        <v>1375</v>
      </c>
      <c r="G50" s="5">
        <f>F50-E50</f>
        <v/>
      </c>
      <c r="H50" s="3" t="inlineStr">
        <is>
          <t>✅更新済・実測一致  1484→1375</t>
        </is>
      </c>
      <c r="I50" s="12" t="n">
        <v>1309</v>
      </c>
      <c r="J50" s="13">
        <f>I50-F50</f>
        <v/>
      </c>
      <c r="K50" s="14" t="inlineStr">
        <is>
          <t>値下げ -66</t>
        </is>
      </c>
    </row>
    <row r="51" ht="13.8" customHeight="1" s="9">
      <c r="A51" s="3" t="n">
        <v>47</v>
      </c>
      <c r="B51" s="3" t="inlineStr">
        <is>
          <t>リカバリーサンダル</t>
        </is>
      </c>
      <c r="C51" s="3" t="inlineStr">
        <is>
          <t>ACTIVE</t>
        </is>
      </c>
      <c r="D51" s="3" t="inlineStr">
        <is>
          <t>カーキ / 25.0〜25.5cm</t>
        </is>
      </c>
      <c r="E51" s="4" t="n">
        <v>1484</v>
      </c>
      <c r="F51" s="5" t="n">
        <v>1375</v>
      </c>
      <c r="G51" s="5">
        <f>F51-E51</f>
        <v/>
      </c>
      <c r="H51" s="3" t="inlineStr">
        <is>
          <t>✅更新済・実測一致  1484→1375</t>
        </is>
      </c>
      <c r="I51" s="12" t="n">
        <v>1309</v>
      </c>
      <c r="J51" s="13">
        <f>I51-F51</f>
        <v/>
      </c>
      <c r="K51" s="14" t="inlineStr">
        <is>
          <t>値下げ -66</t>
        </is>
      </c>
    </row>
    <row r="52" ht="13.8" customHeight="1" s="9">
      <c r="A52" s="3" t="n">
        <v>48</v>
      </c>
      <c r="B52" s="3" t="inlineStr">
        <is>
          <t>リカバリーサンダル</t>
        </is>
      </c>
      <c r="C52" s="3" t="inlineStr">
        <is>
          <t>ACTIVE</t>
        </is>
      </c>
      <c r="D52" s="3" t="inlineStr">
        <is>
          <t>カーキ / 26.0〜26.5cm</t>
        </is>
      </c>
      <c r="E52" s="4" t="n">
        <v>1484</v>
      </c>
      <c r="F52" s="5" t="n">
        <v>1375</v>
      </c>
      <c r="G52" s="5">
        <f>F52-E52</f>
        <v/>
      </c>
      <c r="H52" s="3" t="inlineStr">
        <is>
          <t>✅更新済・実測一致  1484→1375</t>
        </is>
      </c>
      <c r="I52" s="12" t="n">
        <v>1309</v>
      </c>
      <c r="J52" s="13">
        <f>I52-F52</f>
        <v/>
      </c>
      <c r="K52" s="14" t="inlineStr">
        <is>
          <t>値下げ -66</t>
        </is>
      </c>
    </row>
    <row r="53" ht="13.8" customHeight="1" s="9">
      <c r="A53" s="3" t="n">
        <v>49</v>
      </c>
      <c r="B53" s="3" t="inlineStr">
        <is>
          <t>リカバリーサンダル</t>
        </is>
      </c>
      <c r="C53" s="3" t="inlineStr">
        <is>
          <t>ACTIVE</t>
        </is>
      </c>
      <c r="D53" s="3" t="inlineStr">
        <is>
          <t>カーキ / 27.0cm〜</t>
        </is>
      </c>
      <c r="E53" s="4" t="n">
        <v>1484</v>
      </c>
      <c r="F53" s="5" t="n">
        <v>1375</v>
      </c>
      <c r="G53" s="5">
        <f>F53-E53</f>
        <v/>
      </c>
      <c r="H53" s="3" t="inlineStr">
        <is>
          <t>✅更新済・実測一致  1484→1375</t>
        </is>
      </c>
      <c r="I53" s="12" t="n">
        <v>1309</v>
      </c>
      <c r="J53" s="13">
        <f>I53-F53</f>
        <v/>
      </c>
      <c r="K53" s="14" t="inlineStr">
        <is>
          <t>値下げ -66</t>
        </is>
      </c>
    </row>
    <row r="54" ht="13.8" customHeight="1" s="9">
      <c r="A54" s="3" t="n">
        <v>50</v>
      </c>
      <c r="B54" s="3" t="inlineStr">
        <is>
          <t>リカバリーサンダル</t>
        </is>
      </c>
      <c r="C54" s="3" t="inlineStr">
        <is>
          <t>ACTIVE</t>
        </is>
      </c>
      <c r="D54" s="3" t="inlineStr">
        <is>
          <t>オレンジ / 23.0〜23.5cm</t>
        </is>
      </c>
      <c r="E54" s="4" t="n">
        <v>1484</v>
      </c>
      <c r="F54" s="5" t="n">
        <v>1375</v>
      </c>
      <c r="G54" s="5">
        <f>F54-E54</f>
        <v/>
      </c>
      <c r="H54" s="3" t="inlineStr">
        <is>
          <t>✅更新済・実測一致  1484→1375</t>
        </is>
      </c>
      <c r="I54" s="12" t="n">
        <v>1309</v>
      </c>
      <c r="J54" s="13">
        <f>I54-F54</f>
        <v/>
      </c>
      <c r="K54" s="14" t="inlineStr">
        <is>
          <t>値下げ -66</t>
        </is>
      </c>
    </row>
    <row r="55" ht="13.8" customHeight="1" s="9">
      <c r="A55" s="3" t="n">
        <v>51</v>
      </c>
      <c r="B55" s="3" t="inlineStr">
        <is>
          <t>リカバリーサンダル</t>
        </is>
      </c>
      <c r="C55" s="3" t="inlineStr">
        <is>
          <t>ACTIVE</t>
        </is>
      </c>
      <c r="D55" s="3" t="inlineStr">
        <is>
          <t>オレンジ / 24.0〜24.5cm</t>
        </is>
      </c>
      <c r="E55" s="4" t="n">
        <v>1484</v>
      </c>
      <c r="F55" s="5" t="n">
        <v>1375</v>
      </c>
      <c r="G55" s="5">
        <f>F55-E55</f>
        <v/>
      </c>
      <c r="H55" s="3" t="inlineStr">
        <is>
          <t>✅更新済・実測一致  1484→1375</t>
        </is>
      </c>
      <c r="I55" s="12" t="n">
        <v>1309</v>
      </c>
      <c r="J55" s="13">
        <f>I55-F55</f>
        <v/>
      </c>
      <c r="K55" s="14" t="inlineStr">
        <is>
          <t>値下げ -66</t>
        </is>
      </c>
    </row>
    <row r="56" ht="13.8" customHeight="1" s="9">
      <c r="A56" s="3" t="n">
        <v>52</v>
      </c>
      <c r="B56" s="3" t="inlineStr">
        <is>
          <t>リカバリーサンダル</t>
        </is>
      </c>
      <c r="C56" s="3" t="inlineStr">
        <is>
          <t>ACTIVE</t>
        </is>
      </c>
      <c r="D56" s="3" t="inlineStr">
        <is>
          <t>オレンジ / 25.0〜25.5cm</t>
        </is>
      </c>
      <c r="E56" s="4" t="n">
        <v>1484</v>
      </c>
      <c r="F56" s="5" t="n">
        <v>1375</v>
      </c>
      <c r="G56" s="5">
        <f>F56-E56</f>
        <v/>
      </c>
      <c r="H56" s="3" t="inlineStr">
        <is>
          <t>✅更新済・実測一致  1484→1375</t>
        </is>
      </c>
      <c r="I56" s="12" t="n">
        <v>1309</v>
      </c>
      <c r="J56" s="13">
        <f>I56-F56</f>
        <v/>
      </c>
      <c r="K56" s="14" t="inlineStr">
        <is>
          <t>値下げ -66</t>
        </is>
      </c>
    </row>
    <row r="57" ht="13.8" customHeight="1" s="9">
      <c r="A57" s="3" t="n">
        <v>53</v>
      </c>
      <c r="B57" s="3" t="inlineStr">
        <is>
          <t>リカバリーサンダル</t>
        </is>
      </c>
      <c r="C57" s="3" t="inlineStr">
        <is>
          <t>ACTIVE</t>
        </is>
      </c>
      <c r="D57" s="3" t="inlineStr">
        <is>
          <t>ピンク / 23.0〜23.5cm</t>
        </is>
      </c>
      <c r="E57" s="4" t="n">
        <v>1484</v>
      </c>
      <c r="F57" s="5" t="n">
        <v>1375</v>
      </c>
      <c r="G57" s="5">
        <f>F57-E57</f>
        <v/>
      </c>
      <c r="H57" s="3" t="inlineStr">
        <is>
          <t>✅更新済・実測一致  1484→1375</t>
        </is>
      </c>
      <c r="I57" s="12" t="n">
        <v>1309</v>
      </c>
      <c r="J57" s="13">
        <f>I57-F57</f>
        <v/>
      </c>
      <c r="K57" s="14" t="inlineStr">
        <is>
          <t>値下げ -66</t>
        </is>
      </c>
    </row>
    <row r="58" ht="13.8" customHeight="1" s="9">
      <c r="A58" s="3" t="n">
        <v>54</v>
      </c>
      <c r="B58" s="3" t="inlineStr">
        <is>
          <t>リカバリーサンダル</t>
        </is>
      </c>
      <c r="C58" s="3" t="inlineStr">
        <is>
          <t>ACTIVE</t>
        </is>
      </c>
      <c r="D58" s="3" t="inlineStr">
        <is>
          <t>ピンク / 24.0〜24.5cm</t>
        </is>
      </c>
      <c r="E58" s="4" t="n">
        <v>1484</v>
      </c>
      <c r="F58" s="5" t="n">
        <v>1375</v>
      </c>
      <c r="G58" s="5">
        <f>F58-E58</f>
        <v/>
      </c>
      <c r="H58" s="3" t="inlineStr">
        <is>
          <t>✅更新済・実測一致  1484→1375</t>
        </is>
      </c>
      <c r="I58" s="12" t="n">
        <v>1309</v>
      </c>
      <c r="J58" s="13">
        <f>I58-F58</f>
        <v/>
      </c>
      <c r="K58" s="14" t="inlineStr">
        <is>
          <t>値下げ -66</t>
        </is>
      </c>
    </row>
    <row r="59" ht="13.8" customHeight="1" s="9">
      <c r="A59" s="3" t="n">
        <v>55</v>
      </c>
      <c r="B59" s="3" t="inlineStr">
        <is>
          <t>リカバリーサンダル</t>
        </is>
      </c>
      <c r="C59" s="3" t="inlineStr">
        <is>
          <t>ACTIVE</t>
        </is>
      </c>
      <c r="D59" s="3" t="inlineStr">
        <is>
          <t>ピンク / 25.0〜25.5cm</t>
        </is>
      </c>
      <c r="E59" s="4" t="n">
        <v>1484</v>
      </c>
      <c r="F59" s="5" t="n">
        <v>1375</v>
      </c>
      <c r="G59" s="5">
        <f>F59-E59</f>
        <v/>
      </c>
      <c r="H59" s="3" t="inlineStr">
        <is>
          <t>✅更新済・実測一致  1484→1375</t>
        </is>
      </c>
      <c r="I59" s="12" t="n">
        <v>1309</v>
      </c>
      <c r="J59" s="13">
        <f>I59-F59</f>
        <v/>
      </c>
      <c r="K59" s="14" t="inlineStr">
        <is>
          <t>値下げ -66</t>
        </is>
      </c>
    </row>
    <row r="60" ht="13.8" customHeight="1" s="9">
      <c r="A60" s="3" t="n">
        <v>56</v>
      </c>
      <c r="B60" s="3" t="inlineStr">
        <is>
          <t>リカバリーサンダル</t>
        </is>
      </c>
      <c r="C60" s="3" t="inlineStr">
        <is>
          <t>ACTIVE</t>
        </is>
      </c>
      <c r="D60" s="3" t="inlineStr">
        <is>
          <t>ホワイト / 23.0〜23.5cm</t>
        </is>
      </c>
      <c r="E60" s="4" t="n">
        <v>1484</v>
      </c>
      <c r="F60" s="5" t="n">
        <v>1375</v>
      </c>
      <c r="G60" s="5">
        <f>F60-E60</f>
        <v/>
      </c>
      <c r="H60" s="3" t="inlineStr">
        <is>
          <t>✅更新済・実測一致  1484→1375</t>
        </is>
      </c>
      <c r="I60" s="12" t="n">
        <v>1309</v>
      </c>
      <c r="J60" s="13">
        <f>I60-F60</f>
        <v/>
      </c>
      <c r="K60" s="14" t="inlineStr">
        <is>
          <t>値下げ -66</t>
        </is>
      </c>
    </row>
    <row r="61" ht="13.8" customHeight="1" s="9">
      <c r="A61" s="3" t="n">
        <v>57</v>
      </c>
      <c r="B61" s="3" t="inlineStr">
        <is>
          <t>リカバリーサンダル</t>
        </is>
      </c>
      <c r="C61" s="3" t="inlineStr">
        <is>
          <t>ACTIVE</t>
        </is>
      </c>
      <c r="D61" s="3" t="inlineStr">
        <is>
          <t>ホワイト / 24.0〜24.5cm</t>
        </is>
      </c>
      <c r="E61" s="4" t="n">
        <v>1484</v>
      </c>
      <c r="F61" s="5" t="n">
        <v>1375</v>
      </c>
      <c r="G61" s="5">
        <f>F61-E61</f>
        <v/>
      </c>
      <c r="H61" s="3" t="inlineStr">
        <is>
          <t>✅更新済・実測一致  1484→1375</t>
        </is>
      </c>
      <c r="I61" s="12" t="n">
        <v>1309</v>
      </c>
      <c r="J61" s="13">
        <f>I61-F61</f>
        <v/>
      </c>
      <c r="K61" s="14" t="inlineStr">
        <is>
          <t>値下げ -66</t>
        </is>
      </c>
    </row>
    <row r="62" ht="13.8" customHeight="1" s="9">
      <c r="A62" s="3" t="n">
        <v>58</v>
      </c>
      <c r="B62" s="3" t="inlineStr">
        <is>
          <t>リカバリーサンダル</t>
        </is>
      </c>
      <c r="C62" s="3" t="inlineStr">
        <is>
          <t>ACTIVE</t>
        </is>
      </c>
      <c r="D62" s="3" t="inlineStr">
        <is>
          <t>ホワイト / 25.0〜25.5cm</t>
        </is>
      </c>
      <c r="E62" s="4" t="n">
        <v>1484</v>
      </c>
      <c r="F62" s="5" t="n">
        <v>1375</v>
      </c>
      <c r="G62" s="5">
        <f>F62-E62</f>
        <v/>
      </c>
      <c r="H62" s="3" t="inlineStr">
        <is>
          <t>✅更新済・実測一致  1484→1375</t>
        </is>
      </c>
      <c r="I62" s="12" t="n">
        <v>1309</v>
      </c>
      <c r="J62" s="13">
        <f>I62-F62</f>
        <v/>
      </c>
      <c r="K62" s="14" t="inlineStr">
        <is>
          <t>値下げ -66</t>
        </is>
      </c>
    </row>
    <row r="63" ht="13.8" customHeight="1" s="9">
      <c r="A63" s="3" t="n">
        <v>59</v>
      </c>
      <c r="B63" s="3" t="inlineStr">
        <is>
          <t>リカバリーサンダル</t>
        </is>
      </c>
      <c r="C63" s="3" t="inlineStr">
        <is>
          <t>ACTIVE</t>
        </is>
      </c>
      <c r="D63" s="3" t="inlineStr">
        <is>
          <t>イエロー / 23.0〜23.5cm</t>
        </is>
      </c>
      <c r="E63" s="4" t="n">
        <v>1484</v>
      </c>
      <c r="F63" s="5" t="n">
        <v>1375</v>
      </c>
      <c r="G63" s="5">
        <f>F63-E63</f>
        <v/>
      </c>
      <c r="H63" s="3" t="inlineStr">
        <is>
          <t>✅更新済・実測一致  1484→1375</t>
        </is>
      </c>
      <c r="I63" s="12" t="n">
        <v>1309</v>
      </c>
      <c r="J63" s="13">
        <f>I63-F63</f>
        <v/>
      </c>
      <c r="K63" s="14" t="inlineStr">
        <is>
          <t>値下げ -66</t>
        </is>
      </c>
    </row>
    <row r="64" ht="13.8" customHeight="1" s="9">
      <c r="A64" s="3" t="n">
        <v>60</v>
      </c>
      <c r="B64" s="3" t="inlineStr">
        <is>
          <t>リカバリーサンダル</t>
        </is>
      </c>
      <c r="C64" s="3" t="inlineStr">
        <is>
          <t>ACTIVE</t>
        </is>
      </c>
      <c r="D64" s="3" t="inlineStr">
        <is>
          <t>イエロー / 24.0〜24.5cm</t>
        </is>
      </c>
      <c r="E64" s="4" t="n">
        <v>1484</v>
      </c>
      <c r="F64" s="5" t="n">
        <v>1375</v>
      </c>
      <c r="G64" s="5">
        <f>F64-E64</f>
        <v/>
      </c>
      <c r="H64" s="3" t="inlineStr">
        <is>
          <t>✅更新済・実測一致  1484→1375</t>
        </is>
      </c>
      <c r="I64" s="12" t="n">
        <v>1309</v>
      </c>
      <c r="J64" s="13">
        <f>I64-F64</f>
        <v/>
      </c>
      <c r="K64" s="14" t="inlineStr">
        <is>
          <t>値下げ -66</t>
        </is>
      </c>
    </row>
    <row r="65" ht="13.8" customHeight="1" s="9">
      <c r="A65" s="3" t="n">
        <v>61</v>
      </c>
      <c r="B65" s="3" t="inlineStr">
        <is>
          <t>リカバリーサンダル</t>
        </is>
      </c>
      <c r="C65" s="3" t="inlineStr">
        <is>
          <t>ACTIVE</t>
        </is>
      </c>
      <c r="D65" s="3" t="inlineStr">
        <is>
          <t>イエロー / 25.0〜25.5cm</t>
        </is>
      </c>
      <c r="E65" s="4" t="n">
        <v>1484</v>
      </c>
      <c r="F65" s="5" t="n">
        <v>1375</v>
      </c>
      <c r="G65" s="5">
        <f>F65-E65</f>
        <v/>
      </c>
      <c r="H65" s="3" t="inlineStr">
        <is>
          <t>✅更新済・実測一致  1484→1375</t>
        </is>
      </c>
      <c r="I65" s="12" t="n">
        <v>1309</v>
      </c>
      <c r="J65" s="13">
        <f>I65-F65</f>
        <v/>
      </c>
      <c r="K65" s="14" t="inlineStr">
        <is>
          <t>値下げ -66</t>
        </is>
      </c>
    </row>
    <row r="66" ht="13.8" customHeight="1" s="9">
      <c r="A66" s="3" t="n">
        <v>62</v>
      </c>
      <c r="B66" s="3" t="inlineStr">
        <is>
          <t>保温プレート</t>
        </is>
      </c>
      <c r="C66" s="3" t="inlineStr">
        <is>
          <t>ACTIVE</t>
        </is>
      </c>
      <c r="D66" s="3" t="inlineStr">
        <is>
          <t>ホワイトベージュ</t>
        </is>
      </c>
      <c r="E66" s="4" t="n">
        <v>3952</v>
      </c>
      <c r="F66" s="5" t="n">
        <v>3886</v>
      </c>
      <c r="G66" s="5">
        <f>F66-E66</f>
        <v/>
      </c>
      <c r="H66" s="3" t="inlineStr">
        <is>
          <t>✅更新済・実測一致  3952→3886</t>
        </is>
      </c>
      <c r="I66" s="12" t="n">
        <v>3703</v>
      </c>
      <c r="J66" s="13">
        <f>I66-F66</f>
        <v/>
      </c>
      <c r="K66" s="14" t="inlineStr">
        <is>
          <t>値下げ -183</t>
        </is>
      </c>
    </row>
    <row r="67" ht="13.8" customHeight="1" s="9">
      <c r="A67" s="3" t="n">
        <v>63</v>
      </c>
      <c r="B67" s="3" t="inlineStr">
        <is>
          <t>偏光・調光サングラス</t>
        </is>
      </c>
      <c r="C67" s="3" t="inlineStr">
        <is>
          <t>ACTIVE</t>
        </is>
      </c>
      <c r="D67" s="3" t="inlineStr">
        <is>
          <t>ブラック</t>
        </is>
      </c>
      <c r="E67" s="4" t="n">
        <v>964</v>
      </c>
      <c r="F67" s="5" t="n">
        <v>977</v>
      </c>
      <c r="G67" s="5">
        <f>F67-E67</f>
        <v/>
      </c>
      <c r="H67" s="3" t="inlineStr">
        <is>
          <t>✅更新済・実測一致  964→977</t>
        </is>
      </c>
      <c r="I67" s="12" t="n">
        <v>893</v>
      </c>
      <c r="J67" s="13">
        <f>I67-F67</f>
        <v/>
      </c>
      <c r="K67" s="14" t="inlineStr">
        <is>
          <t>値下げ -84</t>
        </is>
      </c>
    </row>
    <row r="68" ht="13.8" customHeight="1" s="9">
      <c r="A68" s="3" t="n">
        <v>64</v>
      </c>
      <c r="B68" s="3" t="inlineStr">
        <is>
          <t>偏光・調光サングラス</t>
        </is>
      </c>
      <c r="C68" s="3" t="inlineStr">
        <is>
          <t>ACTIVE</t>
        </is>
      </c>
      <c r="D68" s="3" t="inlineStr">
        <is>
          <t>グレー</t>
        </is>
      </c>
      <c r="E68" s="4" t="n">
        <v>964</v>
      </c>
      <c r="F68" s="5" t="n">
        <v>977</v>
      </c>
      <c r="G68" s="5">
        <f>F68-E68</f>
        <v/>
      </c>
      <c r="H68" s="3" t="inlineStr">
        <is>
          <t>✅更新済・実測一致  964→977</t>
        </is>
      </c>
      <c r="I68" s="12" t="n">
        <v>893</v>
      </c>
      <c r="J68" s="13">
        <f>I68-F68</f>
        <v/>
      </c>
      <c r="K68" s="14" t="inlineStr">
        <is>
          <t>値下げ -84</t>
        </is>
      </c>
    </row>
    <row r="69" ht="13.8" customHeight="1" s="9">
      <c r="A69" s="3" t="n">
        <v>65</v>
      </c>
      <c r="B69" s="3" t="inlineStr">
        <is>
          <t>偏光・調光サングラス</t>
        </is>
      </c>
      <c r="C69" s="3" t="inlineStr">
        <is>
          <t>ACTIVE</t>
        </is>
      </c>
      <c r="D69" s="3" t="inlineStr">
        <is>
          <t>ブルー</t>
        </is>
      </c>
      <c r="E69" s="4" t="n">
        <v>964</v>
      </c>
      <c r="F69" s="5" t="n">
        <v>977</v>
      </c>
      <c r="G69" s="5">
        <f>F69-E69</f>
        <v/>
      </c>
      <c r="H69" s="3" t="inlineStr">
        <is>
          <t>✅更新済・実測一致  964→977</t>
        </is>
      </c>
      <c r="I69" s="12" t="n">
        <v>893</v>
      </c>
      <c r="J69" s="13">
        <f>I69-F69</f>
        <v/>
      </c>
      <c r="K69" s="14" t="inlineStr">
        <is>
          <t>値下げ -84</t>
        </is>
      </c>
    </row>
    <row r="70" ht="13.8" customHeight="1" s="9">
      <c r="A70" s="3" t="n">
        <v>66</v>
      </c>
      <c r="B70" s="3" t="inlineStr">
        <is>
          <t>偏光・調光サングラス</t>
        </is>
      </c>
      <c r="C70" s="3" t="inlineStr">
        <is>
          <t>ACTIVE</t>
        </is>
      </c>
      <c r="D70" s="3" t="inlineStr">
        <is>
          <t>ピンク</t>
        </is>
      </c>
      <c r="E70" s="4" t="n">
        <v>964</v>
      </c>
      <c r="F70" s="5" t="n">
        <v>977</v>
      </c>
      <c r="G70" s="5">
        <f>F70-E70</f>
        <v/>
      </c>
      <c r="H70" s="3" t="inlineStr">
        <is>
          <t>✅更新済・実測一致  964→977</t>
        </is>
      </c>
      <c r="I70" s="12" t="n">
        <v>893</v>
      </c>
      <c r="J70" s="13">
        <f>I70-F70</f>
        <v/>
      </c>
      <c r="K70" s="14" t="inlineStr">
        <is>
          <t>値下げ -84</t>
        </is>
      </c>
    </row>
    <row r="71" ht="13.8" customHeight="1" s="9">
      <c r="A71" s="3" t="n">
        <v>67</v>
      </c>
      <c r="B71" s="3" t="inlineStr">
        <is>
          <t>偏光・調光サングラス</t>
        </is>
      </c>
      <c r="C71" s="3" t="inlineStr">
        <is>
          <t>ACTIVE</t>
        </is>
      </c>
      <c r="D71" s="3" t="inlineStr">
        <is>
          <t>パープル</t>
        </is>
      </c>
      <c r="E71" s="4" t="n">
        <v>964</v>
      </c>
      <c r="F71" s="5" t="n">
        <v>977</v>
      </c>
      <c r="G71" s="5">
        <f>F71-E71</f>
        <v/>
      </c>
      <c r="H71" s="3" t="inlineStr">
        <is>
          <t>✅更新済・実測一致  964→977</t>
        </is>
      </c>
      <c r="I71" s="12" t="n">
        <v>893</v>
      </c>
      <c r="J71" s="13">
        <f>I71-F71</f>
        <v/>
      </c>
      <c r="K71" s="14" t="inlineStr">
        <is>
          <t>値下げ -84</t>
        </is>
      </c>
    </row>
    <row r="72" ht="13.8" customHeight="1" s="9">
      <c r="A72" s="3" t="n">
        <v>68</v>
      </c>
      <c r="B72" s="3" t="inlineStr">
        <is>
          <t>健康サンダル</t>
        </is>
      </c>
      <c r="C72" s="3" t="inlineStr">
        <is>
          <t>ACTIVE</t>
        </is>
      </c>
      <c r="D72" s="3" t="inlineStr">
        <is>
          <t>ブラック / 40or41</t>
        </is>
      </c>
      <c r="E72" s="4" t="n">
        <v>1208</v>
      </c>
      <c r="F72" s="5" t="n">
        <v>1262</v>
      </c>
      <c r="G72" s="5">
        <f>F72-E72</f>
        <v/>
      </c>
      <c r="H72" s="3" t="inlineStr">
        <is>
          <t>✅更新済・実測一致  1208→1262</t>
        </is>
      </c>
      <c r="I72" s="12" t="n">
        <v>1162</v>
      </c>
      <c r="J72" s="13">
        <f>I72-F72</f>
        <v/>
      </c>
      <c r="K72" s="14" t="inlineStr">
        <is>
          <t>値下げ -100</t>
        </is>
      </c>
    </row>
    <row r="73" ht="13.8" customHeight="1" s="9">
      <c r="A73" s="3" t="n">
        <v>69</v>
      </c>
      <c r="B73" s="3" t="inlineStr">
        <is>
          <t>健康サンダル</t>
        </is>
      </c>
      <c r="C73" s="3" t="inlineStr">
        <is>
          <t>ACTIVE</t>
        </is>
      </c>
      <c r="D73" s="3" t="inlineStr">
        <is>
          <t>ブラック / 42or43</t>
        </is>
      </c>
      <c r="E73" s="4" t="n">
        <v>1208</v>
      </c>
      <c r="F73" s="5" t="n">
        <v>1262</v>
      </c>
      <c r="G73" s="5">
        <f>F73-E73</f>
        <v/>
      </c>
      <c r="H73" s="3" t="inlineStr">
        <is>
          <t>✅更新済・実測一致  1208→1262</t>
        </is>
      </c>
      <c r="I73" s="12" t="n">
        <v>1162</v>
      </c>
      <c r="J73" s="13">
        <f>I73-F73</f>
        <v/>
      </c>
      <c r="K73" s="14" t="inlineStr">
        <is>
          <t>値下げ -100</t>
        </is>
      </c>
    </row>
    <row r="74" ht="13.8" customHeight="1" s="9">
      <c r="A74" s="3" t="n">
        <v>70</v>
      </c>
      <c r="B74" s="3" t="inlineStr">
        <is>
          <t>健康サンダル</t>
        </is>
      </c>
      <c r="C74" s="3" t="inlineStr">
        <is>
          <t>ACTIVE</t>
        </is>
      </c>
      <c r="D74" s="3" t="inlineStr">
        <is>
          <t>ブラック / 44or45</t>
        </is>
      </c>
      <c r="E74" s="4" t="n">
        <v>1208</v>
      </c>
      <c r="F74" s="5" t="n">
        <v>1262</v>
      </c>
      <c r="G74" s="5">
        <f>F74-E74</f>
        <v/>
      </c>
      <c r="H74" s="3" t="inlineStr">
        <is>
          <t>✅更新済・実測一致  1208→1262</t>
        </is>
      </c>
      <c r="I74" s="12" t="n">
        <v>1162</v>
      </c>
      <c r="J74" s="13">
        <f>I74-F74</f>
        <v/>
      </c>
      <c r="K74" s="14" t="inlineStr">
        <is>
          <t>値下げ -100</t>
        </is>
      </c>
    </row>
    <row r="75" ht="13.8" customHeight="1" s="9">
      <c r="A75" s="3" t="n">
        <v>71</v>
      </c>
      <c r="B75" s="3" t="inlineStr">
        <is>
          <t>健康サンダル</t>
        </is>
      </c>
      <c r="C75" s="3" t="inlineStr">
        <is>
          <t>ACTIVE</t>
        </is>
      </c>
      <c r="D75" s="3" t="inlineStr">
        <is>
          <t>グリーン / 35or36</t>
        </is>
      </c>
      <c r="E75" s="4" t="n">
        <v>1208</v>
      </c>
      <c r="F75" s="5" t="n">
        <v>1262</v>
      </c>
      <c r="G75" s="5">
        <f>F75-E75</f>
        <v/>
      </c>
      <c r="H75" s="3" t="inlineStr">
        <is>
          <t>✅更新済・実測一致  1208→1262</t>
        </is>
      </c>
      <c r="I75" s="12" t="n">
        <v>1162</v>
      </c>
      <c r="J75" s="13">
        <f>I75-F75</f>
        <v/>
      </c>
      <c r="K75" s="14" t="inlineStr">
        <is>
          <t>値下げ -100</t>
        </is>
      </c>
    </row>
    <row r="76" ht="13.8" customHeight="1" s="9">
      <c r="A76" s="3" t="n">
        <v>72</v>
      </c>
      <c r="B76" s="3" t="inlineStr">
        <is>
          <t>健康サンダル</t>
        </is>
      </c>
      <c r="C76" s="3" t="inlineStr">
        <is>
          <t>ACTIVE</t>
        </is>
      </c>
      <c r="D76" s="3" t="inlineStr">
        <is>
          <t>グリーン / 37or38</t>
        </is>
      </c>
      <c r="E76" s="4" t="n">
        <v>1208</v>
      </c>
      <c r="F76" s="5" t="n">
        <v>1262</v>
      </c>
      <c r="G76" s="5">
        <f>F76-E76</f>
        <v/>
      </c>
      <c r="H76" s="3" t="inlineStr">
        <is>
          <t>✅更新済・実測一致  1208→1262</t>
        </is>
      </c>
      <c r="I76" s="12" t="n">
        <v>1162</v>
      </c>
      <c r="J76" s="13">
        <f>I76-F76</f>
        <v/>
      </c>
      <c r="K76" s="14" t="inlineStr">
        <is>
          <t>値下げ -100</t>
        </is>
      </c>
    </row>
    <row r="77" ht="13.8" customHeight="1" s="9">
      <c r="A77" s="3" t="n">
        <v>73</v>
      </c>
      <c r="B77" s="3" t="inlineStr">
        <is>
          <t>健康サンダル</t>
        </is>
      </c>
      <c r="C77" s="3" t="inlineStr">
        <is>
          <t>ACTIVE</t>
        </is>
      </c>
      <c r="D77" s="3" t="inlineStr">
        <is>
          <t>グリーン / 39or40</t>
        </is>
      </c>
      <c r="E77" s="4" t="n">
        <v>1208</v>
      </c>
      <c r="F77" s="5" t="n">
        <v>1262</v>
      </c>
      <c r="G77" s="5">
        <f>F77-E77</f>
        <v/>
      </c>
      <c r="H77" s="3" t="inlineStr">
        <is>
          <t>✅更新済・実測一致  1208→1262</t>
        </is>
      </c>
      <c r="I77" s="12" t="n">
        <v>1162</v>
      </c>
      <c r="J77" s="13">
        <f>I77-F77</f>
        <v/>
      </c>
      <c r="K77" s="14" t="inlineStr">
        <is>
          <t>値下げ -100</t>
        </is>
      </c>
    </row>
    <row r="78" ht="13.8" customHeight="1" s="9">
      <c r="A78" s="3" t="n">
        <v>74</v>
      </c>
      <c r="B78" s="3" t="inlineStr">
        <is>
          <t>健康サンダル</t>
        </is>
      </c>
      <c r="C78" s="3" t="inlineStr">
        <is>
          <t>ACTIVE</t>
        </is>
      </c>
      <c r="D78" s="3" t="inlineStr">
        <is>
          <t>グレー / 40or41</t>
        </is>
      </c>
      <c r="E78" s="4" t="n">
        <v>1208</v>
      </c>
      <c r="F78" s="5" t="n">
        <v>1262</v>
      </c>
      <c r="G78" s="5">
        <f>F78-E78</f>
        <v/>
      </c>
      <c r="H78" s="3" t="inlineStr">
        <is>
          <t>✅更新済・実測一致  1208→1262</t>
        </is>
      </c>
      <c r="I78" s="12" t="n">
        <v>1162</v>
      </c>
      <c r="J78" s="13">
        <f>I78-F78</f>
        <v/>
      </c>
      <c r="K78" s="14" t="inlineStr">
        <is>
          <t>値下げ -100</t>
        </is>
      </c>
    </row>
    <row r="79" ht="13.8" customHeight="1" s="9">
      <c r="A79" s="3" t="n">
        <v>75</v>
      </c>
      <c r="B79" s="3" t="inlineStr">
        <is>
          <t>健康サンダル</t>
        </is>
      </c>
      <c r="C79" s="3" t="inlineStr">
        <is>
          <t>ACTIVE</t>
        </is>
      </c>
      <c r="D79" s="3" t="inlineStr">
        <is>
          <t>グレー / 42or43</t>
        </is>
      </c>
      <c r="E79" s="4" t="n">
        <v>1208</v>
      </c>
      <c r="F79" s="5" t="n">
        <v>1262</v>
      </c>
      <c r="G79" s="5">
        <f>F79-E79</f>
        <v/>
      </c>
      <c r="H79" s="3" t="inlineStr">
        <is>
          <t>✅更新済・実測一致  1208→1262</t>
        </is>
      </c>
      <c r="I79" s="12" t="n">
        <v>1162</v>
      </c>
      <c r="J79" s="13">
        <f>I79-F79</f>
        <v/>
      </c>
      <c r="K79" s="14" t="inlineStr">
        <is>
          <t>値下げ -100</t>
        </is>
      </c>
    </row>
    <row r="80" ht="13.8" customHeight="1" s="9">
      <c r="A80" s="3" t="n">
        <v>76</v>
      </c>
      <c r="B80" s="3" t="inlineStr">
        <is>
          <t>健康サンダル</t>
        </is>
      </c>
      <c r="C80" s="3" t="inlineStr">
        <is>
          <t>ACTIVE</t>
        </is>
      </c>
      <c r="D80" s="3" t="inlineStr">
        <is>
          <t>グレー / 44or45</t>
        </is>
      </c>
      <c r="E80" s="4" t="n">
        <v>1208</v>
      </c>
      <c r="F80" s="5" t="n">
        <v>1262</v>
      </c>
      <c r="G80" s="5">
        <f>F80-E80</f>
        <v/>
      </c>
      <c r="H80" s="3" t="inlineStr">
        <is>
          <t>✅更新済・実測一致  1208→1262</t>
        </is>
      </c>
      <c r="I80" s="12" t="n">
        <v>1162</v>
      </c>
      <c r="J80" s="13">
        <f>I80-F80</f>
        <v/>
      </c>
      <c r="K80" s="14" t="inlineStr">
        <is>
          <t>値下げ -100</t>
        </is>
      </c>
    </row>
    <row r="81" ht="13.8" customHeight="1" s="9">
      <c r="A81" s="3" t="n">
        <v>77</v>
      </c>
      <c r="B81" s="3" t="inlineStr">
        <is>
          <t>健康サンダル</t>
        </is>
      </c>
      <c r="C81" s="3" t="inlineStr">
        <is>
          <t>ACTIVE</t>
        </is>
      </c>
      <c r="D81" s="3" t="inlineStr">
        <is>
          <t>モカ / 35or36</t>
        </is>
      </c>
      <c r="E81" s="4" t="n">
        <v>1208</v>
      </c>
      <c r="F81" s="5" t="n">
        <v>1262</v>
      </c>
      <c r="G81" s="5">
        <f>F81-E81</f>
        <v/>
      </c>
      <c r="H81" s="3" t="inlineStr">
        <is>
          <t>✅更新済・実測一致  1208→1262</t>
        </is>
      </c>
      <c r="I81" s="12" t="n">
        <v>1162</v>
      </c>
      <c r="J81" s="13">
        <f>I81-F81</f>
        <v/>
      </c>
      <c r="K81" s="14" t="inlineStr">
        <is>
          <t>値下げ -100</t>
        </is>
      </c>
    </row>
    <row r="82" ht="13.8" customHeight="1" s="9">
      <c r="A82" s="3" t="n">
        <v>78</v>
      </c>
      <c r="B82" s="3" t="inlineStr">
        <is>
          <t>健康サンダル</t>
        </is>
      </c>
      <c r="C82" s="3" t="inlineStr">
        <is>
          <t>ACTIVE</t>
        </is>
      </c>
      <c r="D82" s="3" t="inlineStr">
        <is>
          <t>モカ / 37or38</t>
        </is>
      </c>
      <c r="E82" s="4" t="n">
        <v>1208</v>
      </c>
      <c r="F82" s="5" t="n">
        <v>1262</v>
      </c>
      <c r="G82" s="5">
        <f>F82-E82</f>
        <v/>
      </c>
      <c r="H82" s="3" t="inlineStr">
        <is>
          <t>✅更新済・実測一致  1208→1262</t>
        </is>
      </c>
      <c r="I82" s="12" t="n">
        <v>1162</v>
      </c>
      <c r="J82" s="13">
        <f>I82-F82</f>
        <v/>
      </c>
      <c r="K82" s="14" t="inlineStr">
        <is>
          <t>値下げ -100</t>
        </is>
      </c>
    </row>
    <row r="83" ht="13.8" customHeight="1" s="9">
      <c r="A83" s="3" t="n">
        <v>79</v>
      </c>
      <c r="B83" s="3" t="inlineStr">
        <is>
          <t>健康サンダル</t>
        </is>
      </c>
      <c r="C83" s="3" t="inlineStr">
        <is>
          <t>ACTIVE</t>
        </is>
      </c>
      <c r="D83" s="3" t="inlineStr">
        <is>
          <t>モカ / 39or40</t>
        </is>
      </c>
      <c r="E83" s="4" t="n">
        <v>1208</v>
      </c>
      <c r="F83" s="5" t="n">
        <v>1262</v>
      </c>
      <c r="G83" s="5">
        <f>F83-E83</f>
        <v/>
      </c>
      <c r="H83" s="3" t="inlineStr">
        <is>
          <t>✅更新済・実測一致  1208→1262</t>
        </is>
      </c>
      <c r="I83" s="12" t="n">
        <v>1162</v>
      </c>
      <c r="J83" s="13">
        <f>I83-F83</f>
        <v/>
      </c>
      <c r="K83" s="14" t="inlineStr">
        <is>
          <t>値下げ -100</t>
        </is>
      </c>
    </row>
    <row r="84" ht="13.8" customHeight="1" s="9">
      <c r="A84" s="3" t="n">
        <v>80</v>
      </c>
      <c r="B84" s="3" t="inlineStr">
        <is>
          <t>健康サンダル</t>
        </is>
      </c>
      <c r="C84" s="3" t="inlineStr">
        <is>
          <t>ACTIVE</t>
        </is>
      </c>
      <c r="D84" s="3" t="inlineStr">
        <is>
          <t>モカ / 40or41</t>
        </is>
      </c>
      <c r="E84" s="4" t="n">
        <v>1208</v>
      </c>
      <c r="F84" s="5" t="n">
        <v>1262</v>
      </c>
      <c r="G84" s="5">
        <f>F84-E84</f>
        <v/>
      </c>
      <c r="H84" s="3" t="inlineStr">
        <is>
          <t>✅更新済・実測一致  1208→1262</t>
        </is>
      </c>
      <c r="I84" s="12" t="n">
        <v>1162</v>
      </c>
      <c r="J84" s="13">
        <f>I84-F84</f>
        <v/>
      </c>
      <c r="K84" s="14" t="inlineStr">
        <is>
          <t>値下げ -100</t>
        </is>
      </c>
    </row>
    <row r="85" ht="13.8" customHeight="1" s="9">
      <c r="A85" s="3" t="n">
        <v>81</v>
      </c>
      <c r="B85" s="3" t="inlineStr">
        <is>
          <t>健康サンダル</t>
        </is>
      </c>
      <c r="C85" s="3" t="inlineStr">
        <is>
          <t>ACTIVE</t>
        </is>
      </c>
      <c r="D85" s="3" t="inlineStr">
        <is>
          <t>モカ / 42or43</t>
        </is>
      </c>
      <c r="E85" s="4" t="n">
        <v>1208</v>
      </c>
      <c r="F85" s="5" t="n">
        <v>1262</v>
      </c>
      <c r="G85" s="5">
        <f>F85-E85</f>
        <v/>
      </c>
      <c r="H85" s="3" t="inlineStr">
        <is>
          <t>✅更新済・実測一致  1208→1262</t>
        </is>
      </c>
      <c r="I85" s="12" t="n">
        <v>1162</v>
      </c>
      <c r="J85" s="13">
        <f>I85-F85</f>
        <v/>
      </c>
      <c r="K85" s="14" t="inlineStr">
        <is>
          <t>値下げ -100</t>
        </is>
      </c>
    </row>
    <row r="86" ht="13.8" customHeight="1" s="9">
      <c r="A86" s="3" t="n">
        <v>82</v>
      </c>
      <c r="B86" s="3" t="inlineStr">
        <is>
          <t>健康サンダル</t>
        </is>
      </c>
      <c r="C86" s="3" t="inlineStr">
        <is>
          <t>ACTIVE</t>
        </is>
      </c>
      <c r="D86" s="3" t="inlineStr">
        <is>
          <t>モカ / 44or45</t>
        </is>
      </c>
      <c r="E86" s="4" t="n">
        <v>1208</v>
      </c>
      <c r="F86" s="5" t="n">
        <v>1262</v>
      </c>
      <c r="G86" s="5">
        <f>F86-E86</f>
        <v/>
      </c>
      <c r="H86" s="3" t="inlineStr">
        <is>
          <t>✅更新済・実測一致  1208→1262</t>
        </is>
      </c>
      <c r="I86" s="12" t="n">
        <v>1162</v>
      </c>
      <c r="J86" s="13">
        <f>I86-F86</f>
        <v/>
      </c>
      <c r="K86" s="14" t="inlineStr">
        <is>
          <t>値下げ -100</t>
        </is>
      </c>
    </row>
    <row r="87" ht="13.8" customHeight="1" s="9">
      <c r="A87" s="3" t="n">
        <v>83</v>
      </c>
      <c r="B87" s="3" t="inlineStr">
        <is>
          <t>健康サンダル</t>
        </is>
      </c>
      <c r="C87" s="3" t="inlineStr">
        <is>
          <t>ACTIVE</t>
        </is>
      </c>
      <c r="D87" s="3" t="inlineStr">
        <is>
          <t>ピンク / 35or36</t>
        </is>
      </c>
      <c r="E87" s="4" t="n">
        <v>1208</v>
      </c>
      <c r="F87" s="5" t="n">
        <v>1262</v>
      </c>
      <c r="G87" s="5">
        <f>F87-E87</f>
        <v/>
      </c>
      <c r="H87" s="3" t="inlineStr">
        <is>
          <t>✅更新済・実測一致  1208→1262</t>
        </is>
      </c>
      <c r="I87" s="12" t="n">
        <v>1162</v>
      </c>
      <c r="J87" s="13">
        <f>I87-F87</f>
        <v/>
      </c>
      <c r="K87" s="14" t="inlineStr">
        <is>
          <t>値下げ -100</t>
        </is>
      </c>
    </row>
    <row r="88" ht="13.8" customHeight="1" s="9">
      <c r="A88" s="3" t="n">
        <v>84</v>
      </c>
      <c r="B88" s="3" t="inlineStr">
        <is>
          <t>健康サンダル</t>
        </is>
      </c>
      <c r="C88" s="3" t="inlineStr">
        <is>
          <t>ACTIVE</t>
        </is>
      </c>
      <c r="D88" s="3" t="inlineStr">
        <is>
          <t>ピンク / 37or38</t>
        </is>
      </c>
      <c r="E88" s="4" t="n">
        <v>1208</v>
      </c>
      <c r="F88" s="5" t="n">
        <v>1262</v>
      </c>
      <c r="G88" s="5">
        <f>F88-E88</f>
        <v/>
      </c>
      <c r="H88" s="3" t="inlineStr">
        <is>
          <t>✅更新済・実測一致  1208→1262</t>
        </is>
      </c>
      <c r="I88" s="12" t="n">
        <v>1162</v>
      </c>
      <c r="J88" s="13">
        <f>I88-F88</f>
        <v/>
      </c>
      <c r="K88" s="14" t="inlineStr">
        <is>
          <t>値下げ -100</t>
        </is>
      </c>
    </row>
    <row r="89" ht="13.8" customHeight="1" s="9">
      <c r="A89" s="3" t="n">
        <v>85</v>
      </c>
      <c r="B89" s="3" t="inlineStr">
        <is>
          <t>健康サンダル</t>
        </is>
      </c>
      <c r="C89" s="3" t="inlineStr">
        <is>
          <t>ACTIVE</t>
        </is>
      </c>
      <c r="D89" s="3" t="inlineStr">
        <is>
          <t>ピンク / 39or40</t>
        </is>
      </c>
      <c r="E89" s="4" t="n">
        <v>1208</v>
      </c>
      <c r="F89" s="5" t="n">
        <v>1262</v>
      </c>
      <c r="G89" s="5">
        <f>F89-E89</f>
        <v/>
      </c>
      <c r="H89" s="3" t="inlineStr">
        <is>
          <t>✅更新済・実測一致  1208→1262</t>
        </is>
      </c>
      <c r="I89" s="12" t="n">
        <v>1162</v>
      </c>
      <c r="J89" s="13">
        <f>I89-F89</f>
        <v/>
      </c>
      <c r="K89" s="14" t="inlineStr">
        <is>
          <t>値下げ -100</t>
        </is>
      </c>
    </row>
    <row r="90" ht="13.8" customHeight="1" s="9">
      <c r="A90" s="3" t="n">
        <v>86</v>
      </c>
      <c r="B90" s="3" t="inlineStr">
        <is>
          <t>優先配送</t>
        </is>
      </c>
      <c r="C90" s="3" t="inlineStr">
        <is>
          <t>ACTIVE</t>
        </is>
      </c>
      <c r="D90" s="3" t="inlineStr">
        <is>
          <t>Default Title</t>
        </is>
      </c>
      <c r="E90" s="4" t="n"/>
      <c r="F90" s="5" t="n"/>
      <c r="G90" s="5">
        <f>F90-E90</f>
        <v/>
      </c>
      <c r="H90" s="3" t="inlineStr">
        <is>
          <t>原価未登録 原価対象外</t>
        </is>
      </c>
      <c r="I90" s="17" t="inlineStr">
        <is>
          <t>—</t>
        </is>
      </c>
      <c r="J90" s="17" t="inlineStr">
        <is>
          <t>—</t>
        </is>
      </c>
      <c r="K90" s="17" t="inlineStr">
        <is>
          <t>対象外</t>
        </is>
      </c>
    </row>
    <row r="91" ht="13.8" customHeight="1" s="9">
      <c r="A91" s="3" t="n">
        <v>87</v>
      </c>
      <c r="B91" s="3" t="inlineStr">
        <is>
          <t>卓上冷感クーラー</t>
        </is>
      </c>
      <c r="C91" s="3" t="inlineStr">
        <is>
          <t>ACTIVE</t>
        </is>
      </c>
      <c r="D91" s="3" t="inlineStr">
        <is>
          <t>Default Title</t>
        </is>
      </c>
      <c r="E91" s="4" t="n">
        <v>1971</v>
      </c>
      <c r="F91" s="5" t="n">
        <v>1996</v>
      </c>
      <c r="G91" s="5">
        <f>F91-E91</f>
        <v/>
      </c>
      <c r="H91" s="3" t="inlineStr">
        <is>
          <t>✅更新済・実測一致  1971→1996</t>
        </is>
      </c>
      <c r="I91" s="15" t="n">
        <v>1996</v>
      </c>
      <c r="J91" s="16">
        <f>I91-F91</f>
        <v/>
      </c>
      <c r="K91" s="17" t="inlineStr">
        <is>
          <t>据置</t>
        </is>
      </c>
    </row>
    <row r="92" ht="13.8" customHeight="1" s="9">
      <c r="A92" s="3" t="n">
        <v>88</v>
      </c>
      <c r="B92" s="3" t="inlineStr">
        <is>
          <t>壁掛けディスペンサー</t>
        </is>
      </c>
      <c r="C92" s="3" t="inlineStr">
        <is>
          <t>ACTIVE</t>
        </is>
      </c>
      <c r="D92" s="3" t="inlineStr">
        <is>
          <t>ブラック　3本セット</t>
        </is>
      </c>
      <c r="E92" s="4" t="n">
        <v>2441</v>
      </c>
      <c r="F92" s="5" t="n">
        <v>2621</v>
      </c>
      <c r="G92" s="5">
        <f>F92-E92</f>
        <v/>
      </c>
      <c r="H92" s="3" t="inlineStr">
        <is>
          <t>✅更新済・実測一致  2441→2621</t>
        </is>
      </c>
      <c r="I92" s="12" t="n">
        <v>2528</v>
      </c>
      <c r="J92" s="13">
        <f>I92-F92</f>
        <v/>
      </c>
      <c r="K92" s="14" t="inlineStr">
        <is>
          <t>値下げ -93</t>
        </is>
      </c>
    </row>
    <row r="93" ht="13.8" customHeight="1" s="9">
      <c r="A93" s="3" t="n">
        <v>89</v>
      </c>
      <c r="B93" s="3" t="inlineStr">
        <is>
          <t>壁掛けディスペンサー</t>
        </is>
      </c>
      <c r="C93" s="3" t="inlineStr">
        <is>
          <t>ACTIVE</t>
        </is>
      </c>
      <c r="D93" s="3" t="inlineStr">
        <is>
          <t>シルバー　3本セット</t>
        </is>
      </c>
      <c r="E93" s="4" t="n">
        <v>2441</v>
      </c>
      <c r="F93" s="5" t="n">
        <v>2621</v>
      </c>
      <c r="G93" s="5">
        <f>F93-E93</f>
        <v/>
      </c>
      <c r="H93" s="3" t="inlineStr">
        <is>
          <t>✅更新済・実測一致  2441→2621</t>
        </is>
      </c>
      <c r="I93" s="12" t="n">
        <v>2528</v>
      </c>
      <c r="J93" s="13">
        <f>I93-F93</f>
        <v/>
      </c>
      <c r="K93" s="14" t="inlineStr">
        <is>
          <t>値下げ -93</t>
        </is>
      </c>
    </row>
    <row r="94" ht="13.8" customHeight="1" s="9">
      <c r="A94" s="3" t="n">
        <v>90</v>
      </c>
      <c r="B94" s="3" t="inlineStr">
        <is>
          <t>壁掛けディスペンサー</t>
        </is>
      </c>
      <c r="C94" s="3" t="inlineStr">
        <is>
          <t>ACTIVE</t>
        </is>
      </c>
      <c r="D94" s="3" t="inlineStr">
        <is>
          <t>ホワイト 3本セット</t>
        </is>
      </c>
      <c r="E94" s="4" t="n">
        <v>2441</v>
      </c>
      <c r="F94" s="5" t="n">
        <v>2621</v>
      </c>
      <c r="G94" s="5">
        <f>F94-E94</f>
        <v/>
      </c>
      <c r="H94" s="3" t="inlineStr">
        <is>
          <t>✅更新済・実測一致  2441→2621</t>
        </is>
      </c>
      <c r="I94" s="12" t="n">
        <v>2528</v>
      </c>
      <c r="J94" s="13">
        <f>I94-F94</f>
        <v/>
      </c>
      <c r="K94" s="14" t="inlineStr">
        <is>
          <t>値下げ -93</t>
        </is>
      </c>
    </row>
    <row r="95" ht="13.8" customHeight="1" s="9">
      <c r="A95" s="3" t="n">
        <v>91</v>
      </c>
      <c r="B95" s="3" t="inlineStr">
        <is>
          <t>壁掛けディスペンサー</t>
        </is>
      </c>
      <c r="C95" s="3" t="inlineStr">
        <is>
          <t>ACTIVE</t>
        </is>
      </c>
      <c r="D95" s="3" t="inlineStr">
        <is>
          <t>透明（Transparent）　3本セット</t>
        </is>
      </c>
      <c r="E95" s="4" t="n">
        <v>2441</v>
      </c>
      <c r="F95" s="5" t="n">
        <v>2621</v>
      </c>
      <c r="G95" s="5">
        <f>F95-E95</f>
        <v/>
      </c>
      <c r="H95" s="3" t="inlineStr">
        <is>
          <t>✅更新済・実測一致  2441→2621</t>
        </is>
      </c>
      <c r="I95" s="12" t="n">
        <v>2528</v>
      </c>
      <c r="J95" s="13">
        <f>I95-F95</f>
        <v/>
      </c>
      <c r="K95" s="14" t="inlineStr">
        <is>
          <t>値下げ -93</t>
        </is>
      </c>
    </row>
    <row r="96" ht="13.8" customHeight="1" s="9">
      <c r="A96" s="3" t="n">
        <v>92</v>
      </c>
      <c r="B96" s="3" t="inlineStr">
        <is>
          <t>壁掛けディスペンサー</t>
        </is>
      </c>
      <c r="C96" s="3" t="inlineStr">
        <is>
          <t>ACTIVE</t>
        </is>
      </c>
      <c r="D96" s="3" t="inlineStr">
        <is>
          <t>ブラック　2本セット</t>
        </is>
      </c>
      <c r="E96" s="4" t="n">
        <v>1932</v>
      </c>
      <c r="F96" s="5" t="n">
        <v>1981</v>
      </c>
      <c r="G96" s="5">
        <f>F96-E96</f>
        <v/>
      </c>
      <c r="H96" s="3" t="inlineStr">
        <is>
          <t>✅更新済・実測一致  1932→1981</t>
        </is>
      </c>
      <c r="I96" s="15" t="n">
        <v>1981</v>
      </c>
      <c r="J96" s="16">
        <f>I96-F96</f>
        <v/>
      </c>
      <c r="K96" s="17" t="inlineStr">
        <is>
          <t>据置</t>
        </is>
      </c>
    </row>
    <row r="97" ht="13.8" customHeight="1" s="9">
      <c r="A97" s="3" t="n">
        <v>93</v>
      </c>
      <c r="B97" s="3" t="inlineStr">
        <is>
          <t>壁掛けディスペンサー</t>
        </is>
      </c>
      <c r="C97" s="3" t="inlineStr">
        <is>
          <t>ACTIVE</t>
        </is>
      </c>
      <c r="D97" s="3" t="inlineStr">
        <is>
          <t>シルバー　2本セット</t>
        </is>
      </c>
      <c r="E97" s="4" t="n">
        <v>1932</v>
      </c>
      <c r="F97" s="5" t="n">
        <v>1981</v>
      </c>
      <c r="G97" s="5">
        <f>F97-E97</f>
        <v/>
      </c>
      <c r="H97" s="3" t="inlineStr">
        <is>
          <t>✅更新済・実測一致  1932→1981</t>
        </is>
      </c>
      <c r="I97" s="15" t="n">
        <v>1981</v>
      </c>
      <c r="J97" s="16">
        <f>I97-F97</f>
        <v/>
      </c>
      <c r="K97" s="17" t="inlineStr">
        <is>
          <t>据置</t>
        </is>
      </c>
    </row>
    <row r="98" ht="13.8" customHeight="1" s="9">
      <c r="A98" s="3" t="n">
        <v>94</v>
      </c>
      <c r="B98" s="3" t="inlineStr">
        <is>
          <t>壁掛けディスペンサー</t>
        </is>
      </c>
      <c r="C98" s="3" t="inlineStr">
        <is>
          <t>ACTIVE</t>
        </is>
      </c>
      <c r="D98" s="3" t="inlineStr">
        <is>
          <t>ホワイト 2本セット</t>
        </is>
      </c>
      <c r="E98" s="4" t="n">
        <v>1932</v>
      </c>
      <c r="F98" s="5" t="n">
        <v>1981</v>
      </c>
      <c r="G98" s="5">
        <f>F98-E98</f>
        <v/>
      </c>
      <c r="H98" s="3" t="inlineStr">
        <is>
          <t>✅更新済・実測一致  1932→1981</t>
        </is>
      </c>
      <c r="I98" s="15" t="n">
        <v>1981</v>
      </c>
      <c r="J98" s="16">
        <f>I98-F98</f>
        <v/>
      </c>
      <c r="K98" s="17" t="inlineStr">
        <is>
          <t>据置</t>
        </is>
      </c>
    </row>
    <row r="99" ht="13.8" customHeight="1" s="9">
      <c r="A99" s="3" t="n">
        <v>95</v>
      </c>
      <c r="B99" s="3" t="inlineStr">
        <is>
          <t>壁掛けディスペンサー</t>
        </is>
      </c>
      <c r="C99" s="3" t="inlineStr">
        <is>
          <t>ACTIVE</t>
        </is>
      </c>
      <c r="D99" s="3" t="inlineStr">
        <is>
          <t>透明（Transparent）　2本セット</t>
        </is>
      </c>
      <c r="E99" s="4" t="n">
        <v>1932</v>
      </c>
      <c r="F99" s="5" t="n">
        <v>1981</v>
      </c>
      <c r="G99" s="5">
        <f>F99-E99</f>
        <v/>
      </c>
      <c r="H99" s="3" t="inlineStr">
        <is>
          <t>✅更新済・実測一致  1932→1981</t>
        </is>
      </c>
      <c r="I99" s="15" t="n">
        <v>1981</v>
      </c>
      <c r="J99" s="16">
        <f>I99-F99</f>
        <v/>
      </c>
      <c r="K99" s="17" t="inlineStr">
        <is>
          <t>据置</t>
        </is>
      </c>
    </row>
    <row r="100" ht="13.8" customHeight="1" s="9">
      <c r="A100" s="3" t="n">
        <v>96</v>
      </c>
      <c r="B100" s="3" t="inlineStr">
        <is>
          <t>姿勢サポートチェア</t>
        </is>
      </c>
      <c r="C100" s="3" t="inlineStr">
        <is>
          <t>ACTIVE</t>
        </is>
      </c>
      <c r="D100" s="3" t="inlineStr">
        <is>
          <t>ブラック</t>
        </is>
      </c>
      <c r="E100" s="4" t="n">
        <v>4103</v>
      </c>
      <c r="F100" s="5" t="n">
        <v>1905</v>
      </c>
      <c r="G100" s="5">
        <f>F100-E100</f>
        <v/>
      </c>
      <c r="H100" s="3" t="inlineStr">
        <is>
          <t>✅更新済・実測一致  4103→1905</t>
        </is>
      </c>
      <c r="I100" s="12" t="n">
        <v>1811</v>
      </c>
      <c r="J100" s="13">
        <f>I100-F100</f>
        <v/>
      </c>
      <c r="K100" s="14" t="inlineStr">
        <is>
          <t>値下げ -94</t>
        </is>
      </c>
    </row>
    <row r="101" ht="13.8" customHeight="1" s="9">
      <c r="A101" s="3" t="n">
        <v>97</v>
      </c>
      <c r="B101" s="3" t="inlineStr">
        <is>
          <t>姿勢サポートチェア</t>
        </is>
      </c>
      <c r="C101" s="3" t="inlineStr">
        <is>
          <t>ACTIVE</t>
        </is>
      </c>
      <c r="D101" s="3" t="inlineStr">
        <is>
          <t>淡いブルー（水色）</t>
        </is>
      </c>
      <c r="E101" s="4" t="n">
        <v>4103</v>
      </c>
      <c r="F101" s="5" t="n">
        <v>1905</v>
      </c>
      <c r="G101" s="5">
        <f>F101-E101</f>
        <v/>
      </c>
      <c r="H101" s="3" t="inlineStr">
        <is>
          <t>✅更新済・実測一致  4103→1905</t>
        </is>
      </c>
      <c r="I101" s="12" t="n">
        <v>1811</v>
      </c>
      <c r="J101" s="13">
        <f>I101-F101</f>
        <v/>
      </c>
      <c r="K101" s="14" t="inlineStr">
        <is>
          <t>値下げ -94</t>
        </is>
      </c>
    </row>
    <row r="102" ht="13.8" customHeight="1" s="9">
      <c r="A102" s="3" t="n">
        <v>98</v>
      </c>
      <c r="B102" s="3" t="inlineStr">
        <is>
          <t>姿勢サポートチェア</t>
        </is>
      </c>
      <c r="C102" s="3" t="inlineStr">
        <is>
          <t>ACTIVE</t>
        </is>
      </c>
      <c r="D102" s="3" t="inlineStr">
        <is>
          <t>ピンク</t>
        </is>
      </c>
      <c r="E102" s="4" t="n">
        <v>4103</v>
      </c>
      <c r="F102" s="5" t="n">
        <v>1905</v>
      </c>
      <c r="G102" s="5">
        <f>F102-E102</f>
        <v/>
      </c>
      <c r="H102" s="3" t="inlineStr">
        <is>
          <t>✅更新済・実測一致  4103→1905</t>
        </is>
      </c>
      <c r="I102" s="12" t="n">
        <v>1811</v>
      </c>
      <c r="J102" s="13">
        <f>I102-F102</f>
        <v/>
      </c>
      <c r="K102" s="14" t="inlineStr">
        <is>
          <t>値下げ -94</t>
        </is>
      </c>
    </row>
    <row r="103" ht="13.8" customHeight="1" s="9">
      <c r="A103" s="3" t="n">
        <v>99</v>
      </c>
      <c r="B103" s="3" t="inlineStr">
        <is>
          <t>姿勢サポートチェア</t>
        </is>
      </c>
      <c r="C103" s="3" t="inlineStr">
        <is>
          <t>ACTIVE</t>
        </is>
      </c>
      <c r="D103" s="3" t="inlineStr">
        <is>
          <t>濃いブルー（青色）</t>
        </is>
      </c>
      <c r="E103" s="4" t="n">
        <v>4103</v>
      </c>
      <c r="F103" s="5" t="n">
        <v>1905</v>
      </c>
      <c r="G103" s="5">
        <f>F103-E103</f>
        <v/>
      </c>
      <c r="H103" s="3" t="inlineStr">
        <is>
          <t>✅更新済・実測一致  4103→1905</t>
        </is>
      </c>
      <c r="I103" s="12" t="n">
        <v>1811</v>
      </c>
      <c r="J103" s="13">
        <f>I103-F103</f>
        <v/>
      </c>
      <c r="K103" s="14" t="inlineStr">
        <is>
          <t>値下げ -94</t>
        </is>
      </c>
    </row>
    <row r="104" ht="13.8" customHeight="1" s="9">
      <c r="A104" s="3" t="n">
        <v>100</v>
      </c>
      <c r="B104" s="3" t="inlineStr">
        <is>
          <t>姿勢サポートベルト</t>
        </is>
      </c>
      <c r="C104" s="3" t="inlineStr">
        <is>
          <t>ACTIVE</t>
        </is>
      </c>
      <c r="D104" s="3" t="inlineStr">
        <is>
          <t>ブラック / S</t>
        </is>
      </c>
      <c r="E104" s="4" t="n">
        <v>1491</v>
      </c>
      <c r="F104" s="5" t="n">
        <v>1429</v>
      </c>
      <c r="G104" s="5">
        <f>F104-E104</f>
        <v/>
      </c>
      <c r="H104" s="3" t="inlineStr">
        <is>
          <t>✅更新済・実測一致  1491→1429</t>
        </is>
      </c>
      <c r="I104" s="15" t="n">
        <v>1429</v>
      </c>
      <c r="J104" s="16">
        <f>I104-F104</f>
        <v/>
      </c>
      <c r="K104" s="17" t="inlineStr">
        <is>
          <t>据置</t>
        </is>
      </c>
    </row>
    <row r="105" ht="13.8" customHeight="1" s="9">
      <c r="A105" s="3" t="n">
        <v>101</v>
      </c>
      <c r="B105" s="3" t="inlineStr">
        <is>
          <t>姿勢サポートベルト</t>
        </is>
      </c>
      <c r="C105" s="3" t="inlineStr">
        <is>
          <t>ACTIVE</t>
        </is>
      </c>
      <c r="D105" s="3" t="inlineStr">
        <is>
          <t>ブラック / M</t>
        </is>
      </c>
      <c r="E105" s="4" t="n">
        <v>1509</v>
      </c>
      <c r="F105" s="5" t="n">
        <v>1429</v>
      </c>
      <c r="G105" s="5">
        <f>F105-E105</f>
        <v/>
      </c>
      <c r="H105" s="3" t="inlineStr">
        <is>
          <t>✅更新済・実測一致  1509→1429</t>
        </is>
      </c>
      <c r="I105" s="15" t="n">
        <v>1429</v>
      </c>
      <c r="J105" s="16">
        <f>I105-F105</f>
        <v/>
      </c>
      <c r="K105" s="17" t="inlineStr">
        <is>
          <t>据置</t>
        </is>
      </c>
    </row>
    <row r="106" ht="13.8" customHeight="1" s="9">
      <c r="A106" s="3" t="n">
        <v>102</v>
      </c>
      <c r="B106" s="3" t="inlineStr">
        <is>
          <t>姿勢サポートベルト</t>
        </is>
      </c>
      <c r="C106" s="3" t="inlineStr">
        <is>
          <t>ACTIVE</t>
        </is>
      </c>
      <c r="D106" s="3" t="inlineStr">
        <is>
          <t>ブラック / L</t>
        </is>
      </c>
      <c r="E106" s="4" t="n">
        <v>1530</v>
      </c>
      <c r="F106" s="5" t="n">
        <v>1429</v>
      </c>
      <c r="G106" s="5">
        <f>F106-E106</f>
        <v/>
      </c>
      <c r="H106" s="3" t="inlineStr">
        <is>
          <t>✅更新済・実測一致  1530→1429</t>
        </is>
      </c>
      <c r="I106" s="15" t="n">
        <v>1429</v>
      </c>
      <c r="J106" s="16">
        <f>I106-F106</f>
        <v/>
      </c>
      <c r="K106" s="17" t="inlineStr">
        <is>
          <t>据置</t>
        </is>
      </c>
    </row>
    <row r="107" ht="13.8" customHeight="1" s="9">
      <c r="A107" s="3" t="n">
        <v>103</v>
      </c>
      <c r="B107" s="3" t="inlineStr">
        <is>
          <t>姿勢サポートベルト</t>
        </is>
      </c>
      <c r="C107" s="3" t="inlineStr">
        <is>
          <t>ACTIVE</t>
        </is>
      </c>
      <c r="D107" s="3" t="inlineStr">
        <is>
          <t>ピンク / S</t>
        </is>
      </c>
      <c r="E107" s="4" t="n">
        <v>1518</v>
      </c>
      <c r="F107" s="5" t="n">
        <v>1456</v>
      </c>
      <c r="G107" s="5">
        <f>F107-E107</f>
        <v/>
      </c>
      <c r="H107" s="3" t="inlineStr">
        <is>
          <t>✅更新済・実測一致  1518→1456</t>
        </is>
      </c>
      <c r="I107" s="15" t="n">
        <v>1456</v>
      </c>
      <c r="J107" s="16">
        <f>I107-F107</f>
        <v/>
      </c>
      <c r="K107" s="17" t="inlineStr">
        <is>
          <t>据置</t>
        </is>
      </c>
    </row>
    <row r="108" ht="13.8" customHeight="1" s="9">
      <c r="A108" s="3" t="n">
        <v>104</v>
      </c>
      <c r="B108" s="3" t="inlineStr">
        <is>
          <t>姿勢サポートベルト</t>
        </is>
      </c>
      <c r="C108" s="3" t="inlineStr">
        <is>
          <t>ACTIVE</t>
        </is>
      </c>
      <c r="D108" s="3" t="inlineStr">
        <is>
          <t>ピンク / M</t>
        </is>
      </c>
      <c r="E108" s="4" t="n">
        <v>1536</v>
      </c>
      <c r="F108" s="5" t="n">
        <v>1456</v>
      </c>
      <c r="G108" s="5">
        <f>F108-E108</f>
        <v/>
      </c>
      <c r="H108" s="3" t="inlineStr">
        <is>
          <t>✅更新済・実測一致  1536→1456</t>
        </is>
      </c>
      <c r="I108" s="15" t="n">
        <v>1456</v>
      </c>
      <c r="J108" s="16">
        <f>I108-F108</f>
        <v/>
      </c>
      <c r="K108" s="17" t="inlineStr">
        <is>
          <t>据置</t>
        </is>
      </c>
    </row>
    <row r="109" ht="13.8" customHeight="1" s="9">
      <c r="A109" s="3" t="n">
        <v>105</v>
      </c>
      <c r="B109" s="3" t="inlineStr">
        <is>
          <t>姿勢サポートベルト</t>
        </is>
      </c>
      <c r="C109" s="3" t="inlineStr">
        <is>
          <t>ACTIVE</t>
        </is>
      </c>
      <c r="D109" s="3" t="inlineStr">
        <is>
          <t>ピンク / L</t>
        </is>
      </c>
      <c r="E109" s="4" t="n">
        <v>1557</v>
      </c>
      <c r="F109" s="5" t="n">
        <v>1456</v>
      </c>
      <c r="G109" s="5">
        <f>F109-E109</f>
        <v/>
      </c>
      <c r="H109" s="3" t="inlineStr">
        <is>
          <t>✅更新済・実測一致  1557→1456</t>
        </is>
      </c>
      <c r="I109" s="15" t="n">
        <v>1456</v>
      </c>
      <c r="J109" s="16">
        <f>I109-F109</f>
        <v/>
      </c>
      <c r="K109" s="17" t="inlineStr">
        <is>
          <t>据置</t>
        </is>
      </c>
    </row>
    <row r="110" ht="13.8" customHeight="1" s="9">
      <c r="A110" s="3" t="n">
        <v>106</v>
      </c>
      <c r="B110" s="3" t="inlineStr">
        <is>
          <t>完全遮光・形状記憶・晴雨兼用・UV日傘</t>
        </is>
      </c>
      <c r="C110" s="3" t="inlineStr">
        <is>
          <t>ACTIVE</t>
        </is>
      </c>
      <c r="D110" s="3" t="inlineStr">
        <is>
          <t>クリームゴールド</t>
        </is>
      </c>
      <c r="E110" s="4" t="n">
        <v>1292</v>
      </c>
      <c r="F110" s="5" t="n">
        <v>1309</v>
      </c>
      <c r="G110" s="5">
        <f>F110-E110</f>
        <v/>
      </c>
      <c r="H110" s="3" t="inlineStr">
        <is>
          <t>✅更新済・実測一致  1292→1309</t>
        </is>
      </c>
      <c r="I110" s="15" t="n">
        <v>1309</v>
      </c>
      <c r="J110" s="16">
        <f>I110-F110</f>
        <v/>
      </c>
      <c r="K110" s="17" t="inlineStr">
        <is>
          <t>据置</t>
        </is>
      </c>
    </row>
    <row r="111" ht="13.8" customHeight="1" s="9">
      <c r="A111" s="3" t="n">
        <v>107</v>
      </c>
      <c r="B111" s="3" t="inlineStr">
        <is>
          <t>完全遮光・形状記憶・晴雨兼用・UV日傘</t>
        </is>
      </c>
      <c r="C111" s="3" t="inlineStr">
        <is>
          <t>ACTIVE</t>
        </is>
      </c>
      <c r="D111" s="3" t="inlineStr">
        <is>
          <t>ライトブルー</t>
        </is>
      </c>
      <c r="E111" s="4" t="n">
        <v>1292</v>
      </c>
      <c r="F111" s="5" t="n">
        <v>1309</v>
      </c>
      <c r="G111" s="5">
        <f>F111-E111</f>
        <v/>
      </c>
      <c r="H111" s="3" t="inlineStr">
        <is>
          <t>✅更新済・実測一致  1292→1309</t>
        </is>
      </c>
      <c r="I111" s="15" t="n">
        <v>1309</v>
      </c>
      <c r="J111" s="16">
        <f>I111-F111</f>
        <v/>
      </c>
      <c r="K111" s="17" t="inlineStr">
        <is>
          <t>据置</t>
        </is>
      </c>
    </row>
    <row r="112" ht="13.8" customHeight="1" s="9">
      <c r="A112" s="3" t="n">
        <v>108</v>
      </c>
      <c r="B112" s="3" t="inlineStr">
        <is>
          <t>完全遮光・形状記憶・晴雨兼用・UV日傘</t>
        </is>
      </c>
      <c r="C112" s="3" t="inlineStr">
        <is>
          <t>ACTIVE</t>
        </is>
      </c>
      <c r="D112" s="3" t="inlineStr">
        <is>
          <t>ライトグリーン</t>
        </is>
      </c>
      <c r="E112" s="4" t="n">
        <v>1292</v>
      </c>
      <c r="F112" s="5" t="n">
        <v>1309</v>
      </c>
      <c r="G112" s="5">
        <f>F112-E112</f>
        <v/>
      </c>
      <c r="H112" s="3" t="inlineStr">
        <is>
          <t>✅更新済・実測一致  1292→1309</t>
        </is>
      </c>
      <c r="I112" s="15" t="n">
        <v>1309</v>
      </c>
      <c r="J112" s="16">
        <f>I112-F112</f>
        <v/>
      </c>
      <c r="K112" s="17" t="inlineStr">
        <is>
          <t>据置</t>
        </is>
      </c>
    </row>
    <row r="113" ht="13.8" customHeight="1" s="9">
      <c r="A113" s="3" t="n">
        <v>109</v>
      </c>
      <c r="B113" s="3" t="inlineStr">
        <is>
          <t>完全遮光・形状記憶・晴雨兼用・UV日傘</t>
        </is>
      </c>
      <c r="C113" s="3" t="inlineStr">
        <is>
          <t>ACTIVE</t>
        </is>
      </c>
      <c r="D113" s="3" t="inlineStr">
        <is>
          <t>ライトパープル</t>
        </is>
      </c>
      <c r="E113" s="4" t="n">
        <v>1292</v>
      </c>
      <c r="F113" s="5" t="n">
        <v>1309</v>
      </c>
      <c r="G113" s="5">
        <f>F113-E113</f>
        <v/>
      </c>
      <c r="H113" s="3" t="inlineStr">
        <is>
          <t>✅更新済・実測一致  1292→1309</t>
        </is>
      </c>
      <c r="I113" s="15" t="n">
        <v>1309</v>
      </c>
      <c r="J113" s="16">
        <f>I113-F113</f>
        <v/>
      </c>
      <c r="K113" s="17" t="inlineStr">
        <is>
          <t>据置</t>
        </is>
      </c>
    </row>
    <row r="114" ht="13.8" customHeight="1" s="9">
      <c r="A114" s="3" t="n">
        <v>110</v>
      </c>
      <c r="B114" s="3" t="inlineStr">
        <is>
          <t>完全遮光・接触冷感UVハット</t>
        </is>
      </c>
      <c r="C114" s="3" t="inlineStr">
        <is>
          <t>ACTIVE</t>
        </is>
      </c>
      <c r="D114" s="3" t="inlineStr">
        <is>
          <t>ブラック / M</t>
        </is>
      </c>
      <c r="E114" s="4" t="n">
        <v>2614</v>
      </c>
      <c r="F114" s="5" t="n">
        <v>1435</v>
      </c>
      <c r="G114" s="5">
        <f>F114-E114</f>
        <v/>
      </c>
      <c r="H114" s="3" t="inlineStr">
        <is>
          <t>✅更新済・実測一致  2614→1435</t>
        </is>
      </c>
      <c r="I114" s="12" t="n">
        <v>1411</v>
      </c>
      <c r="J114" s="13">
        <f>I114-F114</f>
        <v/>
      </c>
      <c r="K114" s="14" t="inlineStr">
        <is>
          <t>値下げ -24</t>
        </is>
      </c>
    </row>
    <row r="115" ht="13.8" customHeight="1" s="9">
      <c r="A115" s="3" t="n">
        <v>111</v>
      </c>
      <c r="B115" s="3" t="inlineStr">
        <is>
          <t>完全遮光・接触冷感UVハット</t>
        </is>
      </c>
      <c r="C115" s="3" t="inlineStr">
        <is>
          <t>ACTIVE</t>
        </is>
      </c>
      <c r="D115" s="3" t="inlineStr">
        <is>
          <t>ダークブルー / M</t>
        </is>
      </c>
      <c r="E115" s="4" t="n">
        <v>2614</v>
      </c>
      <c r="F115" s="5" t="n">
        <v>1435</v>
      </c>
      <c r="G115" s="5">
        <f>F115-E115</f>
        <v/>
      </c>
      <c r="H115" s="3" t="inlineStr">
        <is>
          <t>✅更新済・実測一致  2614→1435</t>
        </is>
      </c>
      <c r="I115" s="12" t="n">
        <v>1411</v>
      </c>
      <c r="J115" s="13">
        <f>I115-F115</f>
        <v/>
      </c>
      <c r="K115" s="14" t="inlineStr">
        <is>
          <t>値下げ -24</t>
        </is>
      </c>
    </row>
    <row r="116" ht="13.8" customHeight="1" s="9">
      <c r="A116" s="3" t="n">
        <v>112</v>
      </c>
      <c r="B116" s="3" t="inlineStr">
        <is>
          <t>完全遮光・接触冷感UVハット</t>
        </is>
      </c>
      <c r="C116" s="3" t="inlineStr">
        <is>
          <t>ACTIVE</t>
        </is>
      </c>
      <c r="D116" s="3" t="inlineStr">
        <is>
          <t>グレー / M</t>
        </is>
      </c>
      <c r="E116" s="4" t="n">
        <v>2614</v>
      </c>
      <c r="F116" s="5" t="n">
        <v>1435</v>
      </c>
      <c r="G116" s="5">
        <f>F116-E116</f>
        <v/>
      </c>
      <c r="H116" s="3" t="inlineStr">
        <is>
          <t>✅更新済・実測一致  2614→1435</t>
        </is>
      </c>
      <c r="I116" s="12" t="n">
        <v>1411</v>
      </c>
      <c r="J116" s="13">
        <f>I116-F116</f>
        <v/>
      </c>
      <c r="K116" s="14" t="inlineStr">
        <is>
          <t>値下げ -24</t>
        </is>
      </c>
    </row>
    <row r="117" ht="13.8" customHeight="1" s="9">
      <c r="A117" s="3" t="n">
        <v>113</v>
      </c>
      <c r="B117" s="3" t="inlineStr">
        <is>
          <t>完全遮光・接触冷感UVハット</t>
        </is>
      </c>
      <c r="C117" s="3" t="inlineStr">
        <is>
          <t>ACTIVE</t>
        </is>
      </c>
      <c r="D117" s="3" t="inlineStr">
        <is>
          <t>ライトブルー / M</t>
        </is>
      </c>
      <c r="E117" s="4" t="n">
        <v>2614</v>
      </c>
      <c r="F117" s="5" t="n">
        <v>1435</v>
      </c>
      <c r="G117" s="5">
        <f>F117-E117</f>
        <v/>
      </c>
      <c r="H117" s="3" t="inlineStr">
        <is>
          <t>✅更新済・実測一致  2614→1435</t>
        </is>
      </c>
      <c r="I117" s="12" t="n">
        <v>1411</v>
      </c>
      <c r="J117" s="13">
        <f>I117-F117</f>
        <v/>
      </c>
      <c r="K117" s="14" t="inlineStr">
        <is>
          <t>値下げ -24</t>
        </is>
      </c>
    </row>
    <row r="118" ht="13.8" customHeight="1" s="9">
      <c r="A118" s="3" t="n">
        <v>114</v>
      </c>
      <c r="B118" s="3" t="inlineStr">
        <is>
          <t>完全遮光・接触冷感UVハット</t>
        </is>
      </c>
      <c r="C118" s="3" t="inlineStr">
        <is>
          <t>ACTIVE</t>
        </is>
      </c>
      <c r="D118" s="3" t="inlineStr">
        <is>
          <t>ライトブラウン / M</t>
        </is>
      </c>
      <c r="E118" s="4" t="n">
        <v>2614</v>
      </c>
      <c r="F118" s="5" t="n">
        <v>1435</v>
      </c>
      <c r="G118" s="5">
        <f>F118-E118</f>
        <v/>
      </c>
      <c r="H118" s="3" t="inlineStr">
        <is>
          <t>✅更新済・実測一致  2614→1435</t>
        </is>
      </c>
      <c r="I118" s="12" t="n">
        <v>1411</v>
      </c>
      <c r="J118" s="13">
        <f>I118-F118</f>
        <v/>
      </c>
      <c r="K118" s="14" t="inlineStr">
        <is>
          <t>値下げ -24</t>
        </is>
      </c>
    </row>
    <row r="119" ht="13.8" customHeight="1" s="9">
      <c r="A119" s="3" t="n">
        <v>115</v>
      </c>
      <c r="B119" s="3" t="inlineStr">
        <is>
          <t>完全遮光・接触冷感UVハット</t>
        </is>
      </c>
      <c r="C119" s="3" t="inlineStr">
        <is>
          <t>ACTIVE</t>
        </is>
      </c>
      <c r="D119" s="3" t="inlineStr">
        <is>
          <t>ホワイト / M</t>
        </is>
      </c>
      <c r="E119" s="4" t="n">
        <v>2614</v>
      </c>
      <c r="F119" s="5" t="n">
        <v>1435</v>
      </c>
      <c r="G119" s="5">
        <f>F119-E119</f>
        <v/>
      </c>
      <c r="H119" s="3" t="inlineStr">
        <is>
          <t>✅更新済・実測一致  2614→1435</t>
        </is>
      </c>
      <c r="I119" s="12" t="n">
        <v>1411</v>
      </c>
      <c r="J119" s="13">
        <f>I119-F119</f>
        <v/>
      </c>
      <c r="K119" s="14" t="inlineStr">
        <is>
          <t>値下げ -24</t>
        </is>
      </c>
    </row>
    <row r="120" ht="13.8" customHeight="1" s="9">
      <c r="A120" s="3" t="n">
        <v>116</v>
      </c>
      <c r="B120" s="3" t="inlineStr">
        <is>
          <t>完全遮光・接触冷感UVハット</t>
        </is>
      </c>
      <c r="C120" s="3" t="inlineStr">
        <is>
          <t>ACTIVE</t>
        </is>
      </c>
      <c r="D120" s="3" t="inlineStr">
        <is>
          <t>イエロー / M</t>
        </is>
      </c>
      <c r="E120" s="4" t="n">
        <v>2614</v>
      </c>
      <c r="F120" s="5" t="n">
        <v>1435</v>
      </c>
      <c r="G120" s="5">
        <f>F120-E120</f>
        <v/>
      </c>
      <c r="H120" s="3" t="inlineStr">
        <is>
          <t>✅更新済・実測一致  2614→1435</t>
        </is>
      </c>
      <c r="I120" s="12" t="n">
        <v>1411</v>
      </c>
      <c r="J120" s="13">
        <f>I120-F120</f>
        <v/>
      </c>
      <c r="K120" s="14" t="inlineStr">
        <is>
          <t>値下げ -24</t>
        </is>
      </c>
    </row>
    <row r="121" ht="13.8" customHeight="1" s="9">
      <c r="A121" s="3" t="n">
        <v>117</v>
      </c>
      <c r="B121" s="3" t="inlineStr">
        <is>
          <t>完全遮光・接触冷感UVハット</t>
        </is>
      </c>
      <c r="C121" s="3" t="inlineStr">
        <is>
          <t>ACTIVE</t>
        </is>
      </c>
      <c r="D121" s="3" t="inlineStr">
        <is>
          <t>ダークブルー / L</t>
        </is>
      </c>
      <c r="E121" s="4" t="n">
        <v>2658</v>
      </c>
      <c r="F121" s="5" t="n">
        <v>1435</v>
      </c>
      <c r="G121" s="5">
        <f>F121-E121</f>
        <v/>
      </c>
      <c r="H121" s="3" t="inlineStr">
        <is>
          <t>✅更新済・実測一致  2658→1435</t>
        </is>
      </c>
      <c r="I121" s="12" t="n">
        <v>1411</v>
      </c>
      <c r="J121" s="13">
        <f>I121-F121</f>
        <v/>
      </c>
      <c r="K121" s="14" t="inlineStr">
        <is>
          <t>値下げ -24</t>
        </is>
      </c>
    </row>
    <row r="122" ht="13.8" customHeight="1" s="9">
      <c r="A122" s="3" t="n">
        <v>118</v>
      </c>
      <c r="B122" s="3" t="inlineStr">
        <is>
          <t>完全遮光・接触冷感UVハット</t>
        </is>
      </c>
      <c r="C122" s="3" t="inlineStr">
        <is>
          <t>ACTIVE</t>
        </is>
      </c>
      <c r="D122" s="3" t="inlineStr">
        <is>
          <t>グレー / L</t>
        </is>
      </c>
      <c r="E122" s="4" t="n">
        <v>2658</v>
      </c>
      <c r="F122" s="5" t="n">
        <v>1435</v>
      </c>
      <c r="G122" s="5">
        <f>F122-E122</f>
        <v/>
      </c>
      <c r="H122" s="3" t="inlineStr">
        <is>
          <t>✅更新済・実測一致  2658→1435</t>
        </is>
      </c>
      <c r="I122" s="12" t="n">
        <v>1411</v>
      </c>
      <c r="J122" s="13">
        <f>I122-F122</f>
        <v/>
      </c>
      <c r="K122" s="14" t="inlineStr">
        <is>
          <t>値下げ -24</t>
        </is>
      </c>
    </row>
    <row r="123" ht="13.8" customHeight="1" s="9">
      <c r="A123" s="3" t="n">
        <v>119</v>
      </c>
      <c r="B123" s="3" t="inlineStr">
        <is>
          <t>完全遮光・接触冷感UVハット</t>
        </is>
      </c>
      <c r="C123" s="3" t="inlineStr">
        <is>
          <t>ACTIVE</t>
        </is>
      </c>
      <c r="D123" s="3" t="inlineStr">
        <is>
          <t>ライトブルー / L</t>
        </is>
      </c>
      <c r="E123" s="4" t="n">
        <v>2658</v>
      </c>
      <c r="F123" s="5" t="n">
        <v>1435</v>
      </c>
      <c r="G123" s="5">
        <f>F123-E123</f>
        <v/>
      </c>
      <c r="H123" s="3" t="inlineStr">
        <is>
          <t>✅更新済・実測一致  2658→1435</t>
        </is>
      </c>
      <c r="I123" s="12" t="n">
        <v>1411</v>
      </c>
      <c r="J123" s="13">
        <f>I123-F123</f>
        <v/>
      </c>
      <c r="K123" s="14" t="inlineStr">
        <is>
          <t>値下げ -24</t>
        </is>
      </c>
    </row>
    <row r="124" ht="13.8" customHeight="1" s="9">
      <c r="A124" s="3" t="n">
        <v>120</v>
      </c>
      <c r="B124" s="3" t="inlineStr">
        <is>
          <t>完全遮光・接触冷感UVハット</t>
        </is>
      </c>
      <c r="C124" s="3" t="inlineStr">
        <is>
          <t>ACTIVE</t>
        </is>
      </c>
      <c r="D124" s="3" t="inlineStr">
        <is>
          <t>ライトブラウン / L</t>
        </is>
      </c>
      <c r="E124" s="4" t="n">
        <v>2658</v>
      </c>
      <c r="F124" s="5" t="n">
        <v>1435</v>
      </c>
      <c r="G124" s="5">
        <f>F124-E124</f>
        <v/>
      </c>
      <c r="H124" s="3" t="inlineStr">
        <is>
          <t>✅更新済・実測一致  2658→1435</t>
        </is>
      </c>
      <c r="I124" s="12" t="n">
        <v>1411</v>
      </c>
      <c r="J124" s="13">
        <f>I124-F124</f>
        <v/>
      </c>
      <c r="K124" s="14" t="inlineStr">
        <is>
          <t>値下げ -24</t>
        </is>
      </c>
    </row>
    <row r="125" ht="13.8" customHeight="1" s="9">
      <c r="A125" s="3" t="n">
        <v>121</v>
      </c>
      <c r="B125" s="3" t="inlineStr">
        <is>
          <t>完全遮光・接触冷感UVハット</t>
        </is>
      </c>
      <c r="C125" s="3" t="inlineStr">
        <is>
          <t>ACTIVE</t>
        </is>
      </c>
      <c r="D125" s="3" t="inlineStr">
        <is>
          <t>ホワイト / L</t>
        </is>
      </c>
      <c r="E125" s="4" t="n">
        <v>2658</v>
      </c>
      <c r="F125" s="5" t="n">
        <v>1435</v>
      </c>
      <c r="G125" s="5">
        <f>F125-E125</f>
        <v/>
      </c>
      <c r="H125" s="3" t="inlineStr">
        <is>
          <t>✅更新済・実測一致  2658→1435</t>
        </is>
      </c>
      <c r="I125" s="12" t="n">
        <v>1411</v>
      </c>
      <c r="J125" s="13">
        <f>I125-F125</f>
        <v/>
      </c>
      <c r="K125" s="14" t="inlineStr">
        <is>
          <t>値下げ -24</t>
        </is>
      </c>
    </row>
    <row r="126" ht="13.8" customHeight="1" s="9">
      <c r="A126" s="3" t="n">
        <v>122</v>
      </c>
      <c r="B126" s="3" t="inlineStr">
        <is>
          <t>完全遮光・接触冷感UVハット</t>
        </is>
      </c>
      <c r="C126" s="3" t="inlineStr">
        <is>
          <t>ACTIVE</t>
        </is>
      </c>
      <c r="D126" s="3" t="inlineStr">
        <is>
          <t>グレー / XL</t>
        </is>
      </c>
      <c r="E126" s="4" t="n">
        <v>2705</v>
      </c>
      <c r="F126" s="5" t="n">
        <v>1435</v>
      </c>
      <c r="G126" s="5">
        <f>F126-E126</f>
        <v/>
      </c>
      <c r="H126" s="3" t="inlineStr">
        <is>
          <t>✅更新済・実測一致  2705→1435</t>
        </is>
      </c>
      <c r="I126" s="12" t="n">
        <v>1411</v>
      </c>
      <c r="J126" s="13">
        <f>I126-F126</f>
        <v/>
      </c>
      <c r="K126" s="14" t="inlineStr">
        <is>
          <t>値下げ -24</t>
        </is>
      </c>
    </row>
    <row r="127" ht="13.8" customHeight="1" s="9">
      <c r="A127" s="3" t="n">
        <v>123</v>
      </c>
      <c r="B127" s="3" t="inlineStr">
        <is>
          <t>害虫ブロッカー</t>
        </is>
      </c>
      <c r="C127" s="3" t="inlineStr">
        <is>
          <t>ACTIVE</t>
        </is>
      </c>
      <c r="D127" s="3" t="inlineStr">
        <is>
          <t>ホワイト</t>
        </is>
      </c>
      <c r="E127" s="4" t="n">
        <v>856</v>
      </c>
      <c r="F127" s="5" t="n">
        <v>867</v>
      </c>
      <c r="G127" s="5">
        <f>F127-E127</f>
        <v/>
      </c>
      <c r="H127" s="3" t="inlineStr">
        <is>
          <t>✅更新済・実測一致  856→867</t>
        </is>
      </c>
      <c r="I127" s="15" t="n">
        <v>867</v>
      </c>
      <c r="J127" s="16">
        <f>I127-F127</f>
        <v/>
      </c>
      <c r="K127" s="17" t="inlineStr">
        <is>
          <t>据置</t>
        </is>
      </c>
    </row>
    <row r="128" ht="13.8" customHeight="1" s="9">
      <c r="A128" s="3" t="n">
        <v>124</v>
      </c>
      <c r="B128" s="3" t="inlineStr">
        <is>
          <t>害虫ブロッカー</t>
        </is>
      </c>
      <c r="C128" s="3" t="inlineStr">
        <is>
          <t>ACTIVE</t>
        </is>
      </c>
      <c r="D128" s="3" t="inlineStr">
        <is>
          <t>グリーン</t>
        </is>
      </c>
      <c r="E128" s="4" t="n">
        <v>856</v>
      </c>
      <c r="F128" s="5" t="n">
        <v>867</v>
      </c>
      <c r="G128" s="5">
        <f>F128-E128</f>
        <v/>
      </c>
      <c r="H128" s="3" t="inlineStr">
        <is>
          <t>✅更新済・実測一致  856→867</t>
        </is>
      </c>
      <c r="I128" s="15" t="n">
        <v>867</v>
      </c>
      <c r="J128" s="16">
        <f>I128-F128</f>
        <v/>
      </c>
      <c r="K128" s="17" t="inlineStr">
        <is>
          <t>据置</t>
        </is>
      </c>
    </row>
    <row r="129" ht="13.8" customHeight="1" s="9">
      <c r="A129" s="3" t="n">
        <v>125</v>
      </c>
      <c r="B129" s="3" t="inlineStr">
        <is>
          <t>形状記憶日傘</t>
        </is>
      </c>
      <c r="C129" s="3" t="inlineStr">
        <is>
          <t>ACTIVE</t>
        </is>
      </c>
      <c r="D129" s="3" t="inlineStr">
        <is>
          <t>クリームゴールド</t>
        </is>
      </c>
      <c r="E129" s="4" t="n">
        <v>1292</v>
      </c>
      <c r="F129" s="5" t="n">
        <v>1309</v>
      </c>
      <c r="G129" s="5">
        <f>F129-E129</f>
        <v/>
      </c>
      <c r="H129" s="3" t="inlineStr">
        <is>
          <t>✅更新済・実測一致  1292→1309</t>
        </is>
      </c>
      <c r="I129" s="15" t="n">
        <v>1309</v>
      </c>
      <c r="J129" s="16">
        <f>I129-F129</f>
        <v/>
      </c>
      <c r="K129" s="17" t="inlineStr">
        <is>
          <t>据置</t>
        </is>
      </c>
    </row>
    <row r="130" ht="13.8" customHeight="1" s="9">
      <c r="A130" s="3" t="n">
        <v>126</v>
      </c>
      <c r="B130" s="3" t="inlineStr">
        <is>
          <t>形状記憶日傘</t>
        </is>
      </c>
      <c r="C130" s="3" t="inlineStr">
        <is>
          <t>ACTIVE</t>
        </is>
      </c>
      <c r="D130" s="3" t="inlineStr">
        <is>
          <t>ライトブルー</t>
        </is>
      </c>
      <c r="E130" s="4" t="n">
        <v>1292</v>
      </c>
      <c r="F130" s="5" t="n">
        <v>1309</v>
      </c>
      <c r="G130" s="5">
        <f>F130-E130</f>
        <v/>
      </c>
      <c r="H130" s="3" t="inlineStr">
        <is>
          <t>✅更新済・実測一致  1292→1309</t>
        </is>
      </c>
      <c r="I130" s="15" t="n">
        <v>1309</v>
      </c>
      <c r="J130" s="16">
        <f>I130-F130</f>
        <v/>
      </c>
      <c r="K130" s="17" t="inlineStr">
        <is>
          <t>据置</t>
        </is>
      </c>
    </row>
    <row r="131" ht="13.8" customHeight="1" s="9">
      <c r="A131" s="3" t="n">
        <v>127</v>
      </c>
      <c r="B131" s="3" t="inlineStr">
        <is>
          <t>形状記憶日傘</t>
        </is>
      </c>
      <c r="C131" s="3" t="inlineStr">
        <is>
          <t>ACTIVE</t>
        </is>
      </c>
      <c r="D131" s="3" t="inlineStr">
        <is>
          <t>ライトグリーン</t>
        </is>
      </c>
      <c r="E131" s="4" t="n">
        <v>1292</v>
      </c>
      <c r="F131" s="5" t="n">
        <v>1309</v>
      </c>
      <c r="G131" s="5">
        <f>F131-E131</f>
        <v/>
      </c>
      <c r="H131" s="3" t="inlineStr">
        <is>
          <t>✅更新済・実測一致  1292→1309</t>
        </is>
      </c>
      <c r="I131" s="15" t="n">
        <v>1309</v>
      </c>
      <c r="J131" s="16">
        <f>I131-F131</f>
        <v/>
      </c>
      <c r="K131" s="17" t="inlineStr">
        <is>
          <t>据置</t>
        </is>
      </c>
    </row>
    <row r="132" ht="13.8" customHeight="1" s="9">
      <c r="A132" s="3" t="n">
        <v>128</v>
      </c>
      <c r="B132" s="3" t="inlineStr">
        <is>
          <t>形状記憶日傘</t>
        </is>
      </c>
      <c r="C132" s="3" t="inlineStr">
        <is>
          <t>ACTIVE</t>
        </is>
      </c>
      <c r="D132" s="3" t="inlineStr">
        <is>
          <t>ライトパープル</t>
        </is>
      </c>
      <c r="E132" s="4" t="n">
        <v>1292</v>
      </c>
      <c r="F132" s="5" t="n">
        <v>1309</v>
      </c>
      <c r="G132" s="5">
        <f>F132-E132</f>
        <v/>
      </c>
      <c r="H132" s="3" t="inlineStr">
        <is>
          <t>✅更新済・実測一致  1292→1309</t>
        </is>
      </c>
      <c r="I132" s="15" t="n">
        <v>1309</v>
      </c>
      <c r="J132" s="16">
        <f>I132-F132</f>
        <v/>
      </c>
      <c r="K132" s="17" t="inlineStr">
        <is>
          <t>据置</t>
        </is>
      </c>
    </row>
    <row r="133" ht="13.8" customHeight="1" s="9">
      <c r="A133" s="3" t="n">
        <v>129</v>
      </c>
      <c r="B133" s="3" t="inlineStr">
        <is>
          <t>接触冷感UVアームカバー</t>
        </is>
      </c>
      <c r="C133" s="3" t="inlineStr">
        <is>
          <t>ACTIVE</t>
        </is>
      </c>
      <c r="D133" s="3" t="inlineStr">
        <is>
          <t>ブラック×グレーベージュ</t>
        </is>
      </c>
      <c r="E133" s="4" t="n">
        <v>906</v>
      </c>
      <c r="F133" s="5" t="n">
        <v>800</v>
      </c>
      <c r="G133" s="5">
        <f>F133-E133</f>
        <v/>
      </c>
      <c r="H133" s="3" t="inlineStr">
        <is>
          <t>✅更新済・実測一致  906→800</t>
        </is>
      </c>
      <c r="I133" s="12" t="n">
        <v>784</v>
      </c>
      <c r="J133" s="13">
        <f>I133-F133</f>
        <v/>
      </c>
      <c r="K133" s="14" t="inlineStr">
        <is>
          <t>値下げ -16</t>
        </is>
      </c>
    </row>
    <row r="134" ht="13.8" customHeight="1" s="9">
      <c r="A134" s="3" t="n">
        <v>130</v>
      </c>
      <c r="B134" s="3" t="inlineStr">
        <is>
          <t>接触冷感UVアームカバー</t>
        </is>
      </c>
      <c r="C134" s="3" t="inlineStr">
        <is>
          <t>ACTIVE</t>
        </is>
      </c>
      <c r="D134" s="3" t="inlineStr">
        <is>
          <t>ブルーグレー×ホワイト</t>
        </is>
      </c>
      <c r="E134" s="4" t="n">
        <v>906</v>
      </c>
      <c r="F134" s="5" t="n">
        <v>800</v>
      </c>
      <c r="G134" s="5">
        <f>F134-E134</f>
        <v/>
      </c>
      <c r="H134" s="3" t="inlineStr">
        <is>
          <t>✅更新済・実測一致  906→800</t>
        </is>
      </c>
      <c r="I134" s="12" t="n">
        <v>784</v>
      </c>
      <c r="J134" s="13">
        <f>I134-F134</f>
        <v/>
      </c>
      <c r="K134" s="14" t="inlineStr">
        <is>
          <t>値下げ -16</t>
        </is>
      </c>
    </row>
    <row r="135" ht="13.8" customHeight="1" s="9">
      <c r="A135" s="3" t="n">
        <v>131</v>
      </c>
      <c r="B135" s="3" t="inlineStr">
        <is>
          <t>接触冷感UVアームカバー</t>
        </is>
      </c>
      <c r="C135" s="3" t="inlineStr">
        <is>
          <t>ACTIVE</t>
        </is>
      </c>
      <c r="D135" s="3" t="inlineStr">
        <is>
          <t>ダークグレー×オレンジ</t>
        </is>
      </c>
      <c r="E135" s="4" t="n">
        <v>906</v>
      </c>
      <c r="F135" s="5" t="n">
        <v>800</v>
      </c>
      <c r="G135" s="5">
        <f>F135-E135</f>
        <v/>
      </c>
      <c r="H135" s="3" t="inlineStr">
        <is>
          <t>✅更新済・実測一致  906→800</t>
        </is>
      </c>
      <c r="I135" s="12" t="n">
        <v>784</v>
      </c>
      <c r="J135" s="13">
        <f>I135-F135</f>
        <v/>
      </c>
      <c r="K135" s="14" t="inlineStr">
        <is>
          <t>値下げ -16</t>
        </is>
      </c>
    </row>
    <row r="136" ht="13.8" customHeight="1" s="9">
      <c r="A136" s="3" t="n">
        <v>132</v>
      </c>
      <c r="B136" s="3" t="inlineStr">
        <is>
          <t>接触冷感UVアームカバー</t>
        </is>
      </c>
      <c r="C136" s="3" t="inlineStr">
        <is>
          <t>ACTIVE</t>
        </is>
      </c>
      <c r="D136" s="3" t="inlineStr">
        <is>
          <t>グレーベージュ×ホワイト</t>
        </is>
      </c>
      <c r="E136" s="4" t="n">
        <v>906</v>
      </c>
      <c r="F136" s="5" t="n">
        <v>800</v>
      </c>
      <c r="G136" s="5">
        <f>F136-E136</f>
        <v/>
      </c>
      <c r="H136" s="3" t="inlineStr">
        <is>
          <t>✅更新済・実測一致  906→800</t>
        </is>
      </c>
      <c r="I136" s="12" t="n">
        <v>784</v>
      </c>
      <c r="J136" s="13">
        <f>I136-F136</f>
        <v/>
      </c>
      <c r="K136" s="14" t="inlineStr">
        <is>
          <t>値下げ -16</t>
        </is>
      </c>
    </row>
    <row r="137" ht="13.8" customHeight="1" s="9">
      <c r="A137" s="3" t="n">
        <v>133</v>
      </c>
      <c r="B137" s="3" t="inlineStr">
        <is>
          <t>接触冷感UVアームカバー</t>
        </is>
      </c>
      <c r="C137" s="3" t="inlineStr">
        <is>
          <t>ACTIVE</t>
        </is>
      </c>
      <c r="D137" s="3" t="inlineStr">
        <is>
          <t>ホワイト×ブルーグレー</t>
        </is>
      </c>
      <c r="E137" s="4" t="n">
        <v>906</v>
      </c>
      <c r="F137" s="5" t="n">
        <v>800</v>
      </c>
      <c r="G137" s="5">
        <f>F137-E137</f>
        <v/>
      </c>
      <c r="H137" s="3" t="inlineStr">
        <is>
          <t>✅更新済・実測一致  906→800</t>
        </is>
      </c>
      <c r="I137" s="12" t="n">
        <v>784</v>
      </c>
      <c r="J137" s="13">
        <f>I137-F137</f>
        <v/>
      </c>
      <c r="K137" s="14" t="inlineStr">
        <is>
          <t>値下げ -16</t>
        </is>
      </c>
    </row>
    <row r="138" ht="13.8" customHeight="1" s="9">
      <c r="A138" s="3" t="n">
        <v>134</v>
      </c>
      <c r="B138" s="3" t="inlineStr">
        <is>
          <t>接触冷感UVパーカー</t>
        </is>
      </c>
      <c r="C138" s="3" t="inlineStr">
        <is>
          <t>ACTIVE</t>
        </is>
      </c>
      <c r="D138" s="3" t="inlineStr">
        <is>
          <t>ホワイト / M</t>
        </is>
      </c>
      <c r="E138" s="4" t="n">
        <v>1392</v>
      </c>
      <c r="F138" s="5" t="n">
        <v>1434</v>
      </c>
      <c r="G138" s="5">
        <f>F138-E138</f>
        <v/>
      </c>
      <c r="H138" s="3" t="inlineStr">
        <is>
          <t>✅更新済・実測一致  1392→1434</t>
        </is>
      </c>
      <c r="I138" s="15" t="n">
        <v>1434</v>
      </c>
      <c r="J138" s="16">
        <f>I138-F138</f>
        <v/>
      </c>
      <c r="K138" s="17" t="inlineStr">
        <is>
          <t>据置</t>
        </is>
      </c>
    </row>
    <row r="139" ht="13.8" customHeight="1" s="9">
      <c r="A139" s="3" t="n">
        <v>135</v>
      </c>
      <c r="B139" s="3" t="inlineStr">
        <is>
          <t>接触冷感UVパーカー</t>
        </is>
      </c>
      <c r="C139" s="3" t="inlineStr">
        <is>
          <t>ACTIVE</t>
        </is>
      </c>
      <c r="D139" s="3" t="inlineStr">
        <is>
          <t>ホワイト / L</t>
        </is>
      </c>
      <c r="E139" s="4" t="n">
        <v>1392</v>
      </c>
      <c r="F139" s="5" t="n">
        <v>1434</v>
      </c>
      <c r="G139" s="5">
        <f>F139-E139</f>
        <v/>
      </c>
      <c r="H139" s="3" t="inlineStr">
        <is>
          <t>✅更新済・実測一致  1392→1434</t>
        </is>
      </c>
      <c r="I139" s="15" t="n">
        <v>1434</v>
      </c>
      <c r="J139" s="16">
        <f>I139-F139</f>
        <v/>
      </c>
      <c r="K139" s="17" t="inlineStr">
        <is>
          <t>据置</t>
        </is>
      </c>
    </row>
    <row r="140" ht="13.8" customHeight="1" s="9">
      <c r="A140" s="3" t="n">
        <v>136</v>
      </c>
      <c r="B140" s="3" t="inlineStr">
        <is>
          <t>接触冷感UVパーカー</t>
        </is>
      </c>
      <c r="C140" s="3" t="inlineStr">
        <is>
          <t>ACTIVE</t>
        </is>
      </c>
      <c r="D140" s="3" t="inlineStr">
        <is>
          <t>ホワイト / XL</t>
        </is>
      </c>
      <c r="E140" s="4" t="n">
        <v>1392</v>
      </c>
      <c r="F140" s="5" t="n">
        <v>1434</v>
      </c>
      <c r="G140" s="5">
        <f>F140-E140</f>
        <v/>
      </c>
      <c r="H140" s="3" t="inlineStr">
        <is>
          <t>✅更新済・実測一致  1392→1434</t>
        </is>
      </c>
      <c r="I140" s="15" t="n">
        <v>1434</v>
      </c>
      <c r="J140" s="16">
        <f>I140-F140</f>
        <v/>
      </c>
      <c r="K140" s="17" t="inlineStr">
        <is>
          <t>据置</t>
        </is>
      </c>
    </row>
    <row r="141" ht="13.8" customHeight="1" s="9">
      <c r="A141" s="3" t="n">
        <v>137</v>
      </c>
      <c r="B141" s="3" t="inlineStr">
        <is>
          <t>接触冷感UVパーカー</t>
        </is>
      </c>
      <c r="C141" s="3" t="inlineStr">
        <is>
          <t>ACTIVE</t>
        </is>
      </c>
      <c r="D141" s="3" t="inlineStr">
        <is>
          <t>ブラック / M</t>
        </is>
      </c>
      <c r="E141" s="4" t="n">
        <v>1392</v>
      </c>
      <c r="F141" s="5" t="n">
        <v>1434</v>
      </c>
      <c r="G141" s="5">
        <f>F141-E141</f>
        <v/>
      </c>
      <c r="H141" s="3" t="inlineStr">
        <is>
          <t>✅更新済・実測一致  1392→1434</t>
        </is>
      </c>
      <c r="I141" s="15" t="n">
        <v>1434</v>
      </c>
      <c r="J141" s="16">
        <f>I141-F141</f>
        <v/>
      </c>
      <c r="K141" s="17" t="inlineStr">
        <is>
          <t>据置</t>
        </is>
      </c>
    </row>
    <row r="142" ht="13.8" customHeight="1" s="9">
      <c r="A142" s="3" t="n">
        <v>138</v>
      </c>
      <c r="B142" s="3" t="inlineStr">
        <is>
          <t>接触冷感UVパーカー</t>
        </is>
      </c>
      <c r="C142" s="3" t="inlineStr">
        <is>
          <t>ACTIVE</t>
        </is>
      </c>
      <c r="D142" s="3" t="inlineStr">
        <is>
          <t>ブラック / L</t>
        </is>
      </c>
      <c r="E142" s="4" t="n">
        <v>1392</v>
      </c>
      <c r="F142" s="5" t="n">
        <v>1434</v>
      </c>
      <c r="G142" s="5">
        <f>F142-E142</f>
        <v/>
      </c>
      <c r="H142" s="3" t="inlineStr">
        <is>
          <t>✅更新済・実測一致  1392→1434</t>
        </is>
      </c>
      <c r="I142" s="15" t="n">
        <v>1434</v>
      </c>
      <c r="J142" s="16">
        <f>I142-F142</f>
        <v/>
      </c>
      <c r="K142" s="17" t="inlineStr">
        <is>
          <t>据置</t>
        </is>
      </c>
    </row>
    <row r="143" ht="13.8" customHeight="1" s="9">
      <c r="A143" s="3" t="n">
        <v>139</v>
      </c>
      <c r="B143" s="3" t="inlineStr">
        <is>
          <t>接触冷感UVパーカー</t>
        </is>
      </c>
      <c r="C143" s="3" t="inlineStr">
        <is>
          <t>ACTIVE</t>
        </is>
      </c>
      <c r="D143" s="3" t="inlineStr">
        <is>
          <t>ブラック / XL</t>
        </is>
      </c>
      <c r="E143" s="4" t="n">
        <v>1392</v>
      </c>
      <c r="F143" s="5" t="n">
        <v>1434</v>
      </c>
      <c r="G143" s="5">
        <f>F143-E143</f>
        <v/>
      </c>
      <c r="H143" s="3" t="inlineStr">
        <is>
          <t>✅更新済・実測一致  1392→1434</t>
        </is>
      </c>
      <c r="I143" s="15" t="n">
        <v>1434</v>
      </c>
      <c r="J143" s="16">
        <f>I143-F143</f>
        <v/>
      </c>
      <c r="K143" s="17" t="inlineStr">
        <is>
          <t>据置</t>
        </is>
      </c>
    </row>
    <row r="144" ht="13.8" customHeight="1" s="9">
      <c r="A144" s="3" t="n">
        <v>140</v>
      </c>
      <c r="B144" s="3" t="inlineStr">
        <is>
          <t>接触冷感UVパーカー</t>
        </is>
      </c>
      <c r="C144" s="3" t="inlineStr">
        <is>
          <t>ACTIVE</t>
        </is>
      </c>
      <c r="D144" s="3" t="inlineStr">
        <is>
          <t>ライトグレー / M</t>
        </is>
      </c>
      <c r="E144" s="4" t="n">
        <v>1392</v>
      </c>
      <c r="F144" s="5" t="n">
        <v>1434</v>
      </c>
      <c r="G144" s="5">
        <f>F144-E144</f>
        <v/>
      </c>
      <c r="H144" s="3" t="inlineStr">
        <is>
          <t>✅更新済・実測一致  1392→1434</t>
        </is>
      </c>
      <c r="I144" s="15" t="n">
        <v>1434</v>
      </c>
      <c r="J144" s="16">
        <f>I144-F144</f>
        <v/>
      </c>
      <c r="K144" s="17" t="inlineStr">
        <is>
          <t>据置</t>
        </is>
      </c>
    </row>
    <row r="145" ht="13.8" customHeight="1" s="9">
      <c r="A145" s="3" t="n">
        <v>141</v>
      </c>
      <c r="B145" s="3" t="inlineStr">
        <is>
          <t>接触冷感UVパーカー</t>
        </is>
      </c>
      <c r="C145" s="3" t="inlineStr">
        <is>
          <t>ACTIVE</t>
        </is>
      </c>
      <c r="D145" s="3" t="inlineStr">
        <is>
          <t>ライトグレー / L</t>
        </is>
      </c>
      <c r="E145" s="4" t="n">
        <v>1392</v>
      </c>
      <c r="F145" s="5" t="n">
        <v>1434</v>
      </c>
      <c r="G145" s="5">
        <f>F145-E145</f>
        <v/>
      </c>
      <c r="H145" s="3" t="inlineStr">
        <is>
          <t>✅更新済・実測一致  1392→1434</t>
        </is>
      </c>
      <c r="I145" s="15" t="n">
        <v>1434</v>
      </c>
      <c r="J145" s="16">
        <f>I145-F145</f>
        <v/>
      </c>
      <c r="K145" s="17" t="inlineStr">
        <is>
          <t>据置</t>
        </is>
      </c>
    </row>
    <row r="146" ht="13.8" customHeight="1" s="9">
      <c r="A146" s="3" t="n">
        <v>142</v>
      </c>
      <c r="B146" s="3" t="inlineStr">
        <is>
          <t>接触冷感UVパーカー</t>
        </is>
      </c>
      <c r="C146" s="3" t="inlineStr">
        <is>
          <t>ACTIVE</t>
        </is>
      </c>
      <c r="D146" s="3" t="inlineStr">
        <is>
          <t>ライトグレー / XL</t>
        </is>
      </c>
      <c r="E146" s="4" t="n">
        <v>1392</v>
      </c>
      <c r="F146" s="5" t="n">
        <v>1434</v>
      </c>
      <c r="G146" s="5">
        <f>F146-E146</f>
        <v/>
      </c>
      <c r="H146" s="3" t="inlineStr">
        <is>
          <t>✅更新済・実測一致  1392→1434</t>
        </is>
      </c>
      <c r="I146" s="15" t="n">
        <v>1434</v>
      </c>
      <c r="J146" s="16">
        <f>I146-F146</f>
        <v/>
      </c>
      <c r="K146" s="17" t="inlineStr">
        <is>
          <t>据置</t>
        </is>
      </c>
    </row>
    <row r="147" ht="13.8" customHeight="1" s="9">
      <c r="A147" s="3" t="n">
        <v>143</v>
      </c>
      <c r="B147" s="3" t="inlineStr">
        <is>
          <t>接触冷感UVパーカー</t>
        </is>
      </c>
      <c r="C147" s="3" t="inlineStr">
        <is>
          <t>ACTIVE</t>
        </is>
      </c>
      <c r="D147" s="3" t="inlineStr">
        <is>
          <t>ライトブルー / M</t>
        </is>
      </c>
      <c r="E147" s="4" t="n">
        <v>1392</v>
      </c>
      <c r="F147" s="5" t="n">
        <v>1434</v>
      </c>
      <c r="G147" s="5">
        <f>F147-E147</f>
        <v/>
      </c>
      <c r="H147" s="3" t="inlineStr">
        <is>
          <t>✅更新済・実測一致  1392→1434</t>
        </is>
      </c>
      <c r="I147" s="15" t="n">
        <v>1434</v>
      </c>
      <c r="J147" s="16">
        <f>I147-F147</f>
        <v/>
      </c>
      <c r="K147" s="17" t="inlineStr">
        <is>
          <t>据置</t>
        </is>
      </c>
    </row>
    <row r="148" ht="13.8" customHeight="1" s="9">
      <c r="A148" s="3" t="n">
        <v>144</v>
      </c>
      <c r="B148" s="3" t="inlineStr">
        <is>
          <t>接触冷感UVパーカー</t>
        </is>
      </c>
      <c r="C148" s="3" t="inlineStr">
        <is>
          <t>ACTIVE</t>
        </is>
      </c>
      <c r="D148" s="3" t="inlineStr">
        <is>
          <t>ライトブルー / L</t>
        </is>
      </c>
      <c r="E148" s="4" t="n">
        <v>1392</v>
      </c>
      <c r="F148" s="5" t="n">
        <v>1434</v>
      </c>
      <c r="G148" s="5">
        <f>F148-E148</f>
        <v/>
      </c>
      <c r="H148" s="3" t="inlineStr">
        <is>
          <t>✅更新済・実測一致  1392→1434</t>
        </is>
      </c>
      <c r="I148" s="15" t="n">
        <v>1434</v>
      </c>
      <c r="J148" s="16">
        <f>I148-F148</f>
        <v/>
      </c>
      <c r="K148" s="17" t="inlineStr">
        <is>
          <t>据置</t>
        </is>
      </c>
    </row>
    <row r="149" ht="13.8" customHeight="1" s="9">
      <c r="A149" s="3" t="n">
        <v>145</v>
      </c>
      <c r="B149" s="3" t="inlineStr">
        <is>
          <t>接触冷感UVパーカー</t>
        </is>
      </c>
      <c r="C149" s="3" t="inlineStr">
        <is>
          <t>ACTIVE</t>
        </is>
      </c>
      <c r="D149" s="3" t="inlineStr">
        <is>
          <t>ライトブルー / XL</t>
        </is>
      </c>
      <c r="E149" s="4" t="n">
        <v>1392</v>
      </c>
      <c r="F149" s="5" t="n">
        <v>1434</v>
      </c>
      <c r="G149" s="5">
        <f>F149-E149</f>
        <v/>
      </c>
      <c r="H149" s="3" t="inlineStr">
        <is>
          <t>✅更新済・実測一致  1392→1434</t>
        </is>
      </c>
      <c r="I149" s="15" t="n">
        <v>1434</v>
      </c>
      <c r="J149" s="16">
        <f>I149-F149</f>
        <v/>
      </c>
      <c r="K149" s="17" t="inlineStr">
        <is>
          <t>据置</t>
        </is>
      </c>
    </row>
    <row r="150" ht="13.8" customHeight="1" s="9">
      <c r="A150" s="3" t="n">
        <v>146</v>
      </c>
      <c r="B150" s="3" t="inlineStr">
        <is>
          <t>接触冷感UVパーカー</t>
        </is>
      </c>
      <c r="C150" s="3" t="inlineStr">
        <is>
          <t>ACTIVE</t>
        </is>
      </c>
      <c r="D150" s="3" t="inlineStr">
        <is>
          <t>ブルー / M</t>
        </is>
      </c>
      <c r="E150" s="4" t="n">
        <v>1392</v>
      </c>
      <c r="F150" s="5" t="n">
        <v>1434</v>
      </c>
      <c r="G150" s="5">
        <f>F150-E150</f>
        <v/>
      </c>
      <c r="H150" s="3" t="inlineStr">
        <is>
          <t>✅更新済・実測一致  1392→1434</t>
        </is>
      </c>
      <c r="I150" s="15" t="n">
        <v>1434</v>
      </c>
      <c r="J150" s="16">
        <f>I150-F150</f>
        <v/>
      </c>
      <c r="K150" s="17" t="inlineStr">
        <is>
          <t>据置</t>
        </is>
      </c>
    </row>
    <row r="151" ht="13.8" customHeight="1" s="9">
      <c r="A151" s="3" t="n">
        <v>147</v>
      </c>
      <c r="B151" s="3" t="inlineStr">
        <is>
          <t>接触冷感UVパーカー</t>
        </is>
      </c>
      <c r="C151" s="3" t="inlineStr">
        <is>
          <t>ACTIVE</t>
        </is>
      </c>
      <c r="D151" s="3" t="inlineStr">
        <is>
          <t>ブルー / L</t>
        </is>
      </c>
      <c r="E151" s="4" t="n">
        <v>1392</v>
      </c>
      <c r="F151" s="5" t="n">
        <v>1434</v>
      </c>
      <c r="G151" s="5">
        <f>F151-E151</f>
        <v/>
      </c>
      <c r="H151" s="3" t="inlineStr">
        <is>
          <t>✅更新済・実測一致  1392→1434</t>
        </is>
      </c>
      <c r="I151" s="15" t="n">
        <v>1434</v>
      </c>
      <c r="J151" s="16">
        <f>I151-F151</f>
        <v/>
      </c>
      <c r="K151" s="17" t="inlineStr">
        <is>
          <t>据置</t>
        </is>
      </c>
    </row>
    <row r="152" ht="13.8" customHeight="1" s="9">
      <c r="A152" s="3" t="n">
        <v>148</v>
      </c>
      <c r="B152" s="3" t="inlineStr">
        <is>
          <t>接触冷感UVパーカー</t>
        </is>
      </c>
      <c r="C152" s="3" t="inlineStr">
        <is>
          <t>ACTIVE</t>
        </is>
      </c>
      <c r="D152" s="3" t="inlineStr">
        <is>
          <t>ブルー / XL</t>
        </is>
      </c>
      <c r="E152" s="4" t="n">
        <v>1392</v>
      </c>
      <c r="F152" s="5" t="n">
        <v>1434</v>
      </c>
      <c r="G152" s="5">
        <f>F152-E152</f>
        <v/>
      </c>
      <c r="H152" s="3" t="inlineStr">
        <is>
          <t>✅更新済・実測一致  1392→1434</t>
        </is>
      </c>
      <c r="I152" s="15" t="n">
        <v>1434</v>
      </c>
      <c r="J152" s="16">
        <f>I152-F152</f>
        <v/>
      </c>
      <c r="K152" s="17" t="inlineStr">
        <is>
          <t>据置</t>
        </is>
      </c>
    </row>
    <row r="153" ht="13.8" customHeight="1" s="9">
      <c r="A153" s="3" t="n">
        <v>149</v>
      </c>
      <c r="B153" s="3" t="inlineStr">
        <is>
          <t>接触冷感UVパーカー</t>
        </is>
      </c>
      <c r="C153" s="3" t="inlineStr">
        <is>
          <t>ACTIVE</t>
        </is>
      </c>
      <c r="D153" s="3" t="inlineStr">
        <is>
          <t>グリーン / M</t>
        </is>
      </c>
      <c r="E153" s="4" t="n">
        <v>1392</v>
      </c>
      <c r="F153" s="5" t="n">
        <v>1434</v>
      </c>
      <c r="G153" s="5">
        <f>F153-E153</f>
        <v/>
      </c>
      <c r="H153" s="3" t="inlineStr">
        <is>
          <t>✅更新済・実測一致  1392→1434</t>
        </is>
      </c>
      <c r="I153" s="15" t="n">
        <v>1434</v>
      </c>
      <c r="J153" s="16">
        <f>I153-F153</f>
        <v/>
      </c>
      <c r="K153" s="17" t="inlineStr">
        <is>
          <t>据置</t>
        </is>
      </c>
    </row>
    <row r="154" ht="13.8" customHeight="1" s="9">
      <c r="A154" s="3" t="n">
        <v>150</v>
      </c>
      <c r="B154" s="3" t="inlineStr">
        <is>
          <t>接触冷感UVパーカー</t>
        </is>
      </c>
      <c r="C154" s="3" t="inlineStr">
        <is>
          <t>ACTIVE</t>
        </is>
      </c>
      <c r="D154" s="3" t="inlineStr">
        <is>
          <t>グリーン / L</t>
        </is>
      </c>
      <c r="E154" s="4" t="n">
        <v>1392</v>
      </c>
      <c r="F154" s="5" t="n">
        <v>1434</v>
      </c>
      <c r="G154" s="5">
        <f>F154-E154</f>
        <v/>
      </c>
      <c r="H154" s="3" t="inlineStr">
        <is>
          <t>✅更新済・実測一致  1392→1434</t>
        </is>
      </c>
      <c r="I154" s="15" t="n">
        <v>1434</v>
      </c>
      <c r="J154" s="16">
        <f>I154-F154</f>
        <v/>
      </c>
      <c r="K154" s="17" t="inlineStr">
        <is>
          <t>据置</t>
        </is>
      </c>
    </row>
    <row r="155" ht="13.8" customHeight="1" s="9">
      <c r="A155" s="3" t="n">
        <v>151</v>
      </c>
      <c r="B155" s="3" t="inlineStr">
        <is>
          <t>接触冷感UVパーカー</t>
        </is>
      </c>
      <c r="C155" s="3" t="inlineStr">
        <is>
          <t>ACTIVE</t>
        </is>
      </c>
      <c r="D155" s="3" t="inlineStr">
        <is>
          <t>グリーン / XL</t>
        </is>
      </c>
      <c r="E155" s="4" t="n">
        <v>1392</v>
      </c>
      <c r="F155" s="5" t="n">
        <v>1434</v>
      </c>
      <c r="G155" s="5">
        <f>F155-E155</f>
        <v/>
      </c>
      <c r="H155" s="3" t="inlineStr">
        <is>
          <t>✅更新済・実測一致  1392→1434</t>
        </is>
      </c>
      <c r="I155" s="15" t="n">
        <v>1434</v>
      </c>
      <c r="J155" s="16">
        <f>I155-F155</f>
        <v/>
      </c>
      <c r="K155" s="17" t="inlineStr">
        <is>
          <t>据置</t>
        </is>
      </c>
    </row>
    <row r="156" ht="13.8" customHeight="1" s="9">
      <c r="A156" s="3" t="n">
        <v>152</v>
      </c>
      <c r="B156" s="3" t="inlineStr">
        <is>
          <t>接触冷感UVパーカー</t>
        </is>
      </c>
      <c r="C156" s="3" t="inlineStr">
        <is>
          <t>ACTIVE</t>
        </is>
      </c>
      <c r="D156" s="3" t="inlineStr">
        <is>
          <t>カーキ / M</t>
        </is>
      </c>
      <c r="E156" s="4" t="n">
        <v>1392</v>
      </c>
      <c r="F156" s="5" t="n">
        <v>1434</v>
      </c>
      <c r="G156" s="5">
        <f>F156-E156</f>
        <v/>
      </c>
      <c r="H156" s="3" t="inlineStr">
        <is>
          <t>✅更新済・実測一致  1392→1434</t>
        </is>
      </c>
      <c r="I156" s="15" t="n">
        <v>1434</v>
      </c>
      <c r="J156" s="16">
        <f>I156-F156</f>
        <v/>
      </c>
      <c r="K156" s="17" t="inlineStr">
        <is>
          <t>据置</t>
        </is>
      </c>
    </row>
    <row r="157" ht="13.8" customHeight="1" s="9">
      <c r="A157" s="3" t="n">
        <v>153</v>
      </c>
      <c r="B157" s="3" t="inlineStr">
        <is>
          <t>接触冷感UVパーカー</t>
        </is>
      </c>
      <c r="C157" s="3" t="inlineStr">
        <is>
          <t>ACTIVE</t>
        </is>
      </c>
      <c r="D157" s="3" t="inlineStr">
        <is>
          <t>カーキ / L</t>
        </is>
      </c>
      <c r="E157" s="4" t="n">
        <v>1392</v>
      </c>
      <c r="F157" s="5" t="n">
        <v>1434</v>
      </c>
      <c r="G157" s="5">
        <f>F157-E157</f>
        <v/>
      </c>
      <c r="H157" s="3" t="inlineStr">
        <is>
          <t>✅更新済・実測一致  1392→1434</t>
        </is>
      </c>
      <c r="I157" s="15" t="n">
        <v>1434</v>
      </c>
      <c r="J157" s="16">
        <f>I157-F157</f>
        <v/>
      </c>
      <c r="K157" s="17" t="inlineStr">
        <is>
          <t>据置</t>
        </is>
      </c>
    </row>
    <row r="158" ht="13.8" customHeight="1" s="9">
      <c r="A158" s="3" t="n">
        <v>154</v>
      </c>
      <c r="B158" s="3" t="inlineStr">
        <is>
          <t>接触冷感UVパーカー</t>
        </is>
      </c>
      <c r="C158" s="3" t="inlineStr">
        <is>
          <t>ACTIVE</t>
        </is>
      </c>
      <c r="D158" s="3" t="inlineStr">
        <is>
          <t>カーキ / XL</t>
        </is>
      </c>
      <c r="E158" s="4" t="n">
        <v>1392</v>
      </c>
      <c r="F158" s="5" t="n">
        <v>1434</v>
      </c>
      <c r="G158" s="5">
        <f>F158-E158</f>
        <v/>
      </c>
      <c r="H158" s="3" t="inlineStr">
        <is>
          <t>✅更新済・実測一致  1392→1434</t>
        </is>
      </c>
      <c r="I158" s="15" t="n">
        <v>1434</v>
      </c>
      <c r="J158" s="16">
        <f>I158-F158</f>
        <v/>
      </c>
      <c r="K158" s="17" t="inlineStr">
        <is>
          <t>据置</t>
        </is>
      </c>
    </row>
    <row r="159" ht="13.8" customHeight="1" s="9">
      <c r="A159" s="3" t="n">
        <v>155</v>
      </c>
      <c r="B159" s="3" t="inlineStr">
        <is>
          <t>接触冷感UVパーカー</t>
        </is>
      </c>
      <c r="C159" s="3" t="inlineStr">
        <is>
          <t>ACTIVE</t>
        </is>
      </c>
      <c r="D159" s="3" t="inlineStr">
        <is>
          <t>イエロー / M</t>
        </is>
      </c>
      <c r="E159" s="4" t="n">
        <v>1392</v>
      </c>
      <c r="F159" s="5" t="n">
        <v>1434</v>
      </c>
      <c r="G159" s="5">
        <f>F159-E159</f>
        <v/>
      </c>
      <c r="H159" s="3" t="inlineStr">
        <is>
          <t>✅更新済・実測一致  1392→1434</t>
        </is>
      </c>
      <c r="I159" s="15" t="n">
        <v>1434</v>
      </c>
      <c r="J159" s="16">
        <f>I159-F159</f>
        <v/>
      </c>
      <c r="K159" s="17" t="inlineStr">
        <is>
          <t>据置</t>
        </is>
      </c>
    </row>
    <row r="160" ht="13.8" customHeight="1" s="9">
      <c r="A160" s="3" t="n">
        <v>156</v>
      </c>
      <c r="B160" s="3" t="inlineStr">
        <is>
          <t>接触冷感UVパーカー</t>
        </is>
      </c>
      <c r="C160" s="3" t="inlineStr">
        <is>
          <t>ACTIVE</t>
        </is>
      </c>
      <c r="D160" s="3" t="inlineStr">
        <is>
          <t>イエロー / L</t>
        </is>
      </c>
      <c r="E160" s="4" t="n">
        <v>1392</v>
      </c>
      <c r="F160" s="5" t="n">
        <v>1434</v>
      </c>
      <c r="G160" s="5">
        <f>F160-E160</f>
        <v/>
      </c>
      <c r="H160" s="3" t="inlineStr">
        <is>
          <t>✅更新済・実測一致  1392→1434</t>
        </is>
      </c>
      <c r="I160" s="15" t="n">
        <v>1434</v>
      </c>
      <c r="J160" s="16">
        <f>I160-F160</f>
        <v/>
      </c>
      <c r="K160" s="17" t="inlineStr">
        <is>
          <t>据置</t>
        </is>
      </c>
    </row>
    <row r="161" ht="13.8" customHeight="1" s="9">
      <c r="A161" s="3" t="n">
        <v>157</v>
      </c>
      <c r="B161" s="3" t="inlineStr">
        <is>
          <t>接触冷感UVパーカー</t>
        </is>
      </c>
      <c r="C161" s="3" t="inlineStr">
        <is>
          <t>ACTIVE</t>
        </is>
      </c>
      <c r="D161" s="3" t="inlineStr">
        <is>
          <t>イエロー / XL</t>
        </is>
      </c>
      <c r="E161" s="4" t="n">
        <v>1392</v>
      </c>
      <c r="F161" s="5" t="n">
        <v>1434</v>
      </c>
      <c r="G161" s="5">
        <f>F161-E161</f>
        <v/>
      </c>
      <c r="H161" s="3" t="inlineStr">
        <is>
          <t>✅更新済・実測一致  1392→1434</t>
        </is>
      </c>
      <c r="I161" s="15" t="n">
        <v>1434</v>
      </c>
      <c r="J161" s="16">
        <f>I161-F161</f>
        <v/>
      </c>
      <c r="K161" s="17" t="inlineStr">
        <is>
          <t>据置</t>
        </is>
      </c>
    </row>
    <row r="162" ht="13.8" customHeight="1" s="9">
      <c r="A162" s="3" t="n">
        <v>158</v>
      </c>
      <c r="B162" s="3" t="inlineStr">
        <is>
          <t>接触冷感UVパーカー</t>
        </is>
      </c>
      <c r="C162" s="3" t="inlineStr">
        <is>
          <t>ACTIVE</t>
        </is>
      </c>
      <c r="D162" s="3" t="inlineStr">
        <is>
          <t>ピンク / M</t>
        </is>
      </c>
      <c r="E162" s="4" t="n">
        <v>1392</v>
      </c>
      <c r="F162" s="5" t="n">
        <v>1434</v>
      </c>
      <c r="G162" s="5">
        <f>F162-E162</f>
        <v/>
      </c>
      <c r="H162" s="3" t="inlineStr">
        <is>
          <t>✅更新済・実測一致  1392→1434</t>
        </is>
      </c>
      <c r="I162" s="15" t="n">
        <v>1434</v>
      </c>
      <c r="J162" s="16">
        <f>I162-F162</f>
        <v/>
      </c>
      <c r="K162" s="17" t="inlineStr">
        <is>
          <t>据置</t>
        </is>
      </c>
    </row>
    <row r="163" ht="13.8" customHeight="1" s="9">
      <c r="A163" s="3" t="n">
        <v>159</v>
      </c>
      <c r="B163" s="3" t="inlineStr">
        <is>
          <t>接触冷感UVパーカー</t>
        </is>
      </c>
      <c r="C163" s="3" t="inlineStr">
        <is>
          <t>ACTIVE</t>
        </is>
      </c>
      <c r="D163" s="3" t="inlineStr">
        <is>
          <t>ピンク / L</t>
        </is>
      </c>
      <c r="E163" s="4" t="n">
        <v>1392</v>
      </c>
      <c r="F163" s="5" t="n">
        <v>1434</v>
      </c>
      <c r="G163" s="5">
        <f>F163-E163</f>
        <v/>
      </c>
      <c r="H163" s="3" t="inlineStr">
        <is>
          <t>✅更新済・実測一致  1392→1434</t>
        </is>
      </c>
      <c r="I163" s="15" t="n">
        <v>1434</v>
      </c>
      <c r="J163" s="16">
        <f>I163-F163</f>
        <v/>
      </c>
      <c r="K163" s="17" t="inlineStr">
        <is>
          <t>据置</t>
        </is>
      </c>
    </row>
    <row r="164" ht="13.8" customHeight="1" s="9">
      <c r="A164" s="3" t="n">
        <v>160</v>
      </c>
      <c r="B164" s="3" t="inlineStr">
        <is>
          <t>接触冷感UVパーカー</t>
        </is>
      </c>
      <c r="C164" s="3" t="inlineStr">
        <is>
          <t>ACTIVE</t>
        </is>
      </c>
      <c r="D164" s="3" t="inlineStr">
        <is>
          <t>ピンク / XL</t>
        </is>
      </c>
      <c r="E164" s="4" t="n">
        <v>1392</v>
      </c>
      <c r="F164" s="5" t="n">
        <v>1434</v>
      </c>
      <c r="G164" s="5">
        <f>F164-E164</f>
        <v/>
      </c>
      <c r="H164" s="3" t="inlineStr">
        <is>
          <t>✅更新済・実測一致  1392→1434</t>
        </is>
      </c>
      <c r="I164" s="15" t="n">
        <v>1434</v>
      </c>
      <c r="J164" s="16">
        <f>I164-F164</f>
        <v/>
      </c>
      <c r="K164" s="17" t="inlineStr">
        <is>
          <t>据置</t>
        </is>
      </c>
    </row>
    <row r="165" ht="13.8" customHeight="1" s="9">
      <c r="A165" s="3" t="n">
        <v>161</v>
      </c>
      <c r="B165" s="3" t="inlineStr">
        <is>
          <t>携帯電動シェーバー</t>
        </is>
      </c>
      <c r="C165" s="3" t="inlineStr">
        <is>
          <t>ACTIVE</t>
        </is>
      </c>
      <c r="D165" s="3" t="inlineStr">
        <is>
          <t>ブラック</t>
        </is>
      </c>
      <c r="E165" s="4" t="n">
        <v>1853</v>
      </c>
      <c r="F165" s="5" t="n">
        <v>1780</v>
      </c>
      <c r="G165" s="5">
        <f>F165-E165</f>
        <v/>
      </c>
      <c r="H165" s="3" t="inlineStr">
        <is>
          <t>✅更新済・実測一致  1853→1780</t>
        </is>
      </c>
      <c r="I165" s="12" t="n">
        <v>1743</v>
      </c>
      <c r="J165" s="13">
        <f>I165-F165</f>
        <v/>
      </c>
      <c r="K165" s="14" t="inlineStr">
        <is>
          <t>値下げ -37</t>
        </is>
      </c>
    </row>
    <row r="166" ht="13.8" customHeight="1" s="9">
      <c r="A166" s="3" t="n">
        <v>162</v>
      </c>
      <c r="B166" s="3" t="inlineStr">
        <is>
          <t>湯上がりガーゼワンピース</t>
        </is>
      </c>
      <c r="C166" s="3" t="inlineStr">
        <is>
          <t>ACTIVE</t>
        </is>
      </c>
      <c r="D166" s="3" t="inlineStr">
        <is>
          <t>ベージュ / フリーサイズ</t>
        </is>
      </c>
      <c r="E166" s="4" t="n">
        <v>2216</v>
      </c>
      <c r="F166" s="5" t="n">
        <v>2048</v>
      </c>
      <c r="G166" s="5">
        <f>F166-E166</f>
        <v/>
      </c>
      <c r="H166" s="3" t="inlineStr">
        <is>
          <t>✅更新済・実測一致  2216→2048</t>
        </is>
      </c>
      <c r="I166" s="12" t="n">
        <v>1968</v>
      </c>
      <c r="J166" s="13">
        <f>I166-F166</f>
        <v/>
      </c>
      <c r="K166" s="14" t="inlineStr">
        <is>
          <t>値下げ -80</t>
        </is>
      </c>
    </row>
    <row r="167" ht="13.8" customHeight="1" s="9">
      <c r="A167" s="3" t="n">
        <v>163</v>
      </c>
      <c r="B167" s="3" t="inlineStr">
        <is>
          <t>湯上がりガーゼワンピース</t>
        </is>
      </c>
      <c r="C167" s="3" t="inlineStr">
        <is>
          <t>ACTIVE</t>
        </is>
      </c>
      <c r="D167" s="3" t="inlineStr">
        <is>
          <t>ネイビー / フリーサイズ</t>
        </is>
      </c>
      <c r="E167" s="4" t="n">
        <v>2216</v>
      </c>
      <c r="F167" s="5" t="n">
        <v>2048</v>
      </c>
      <c r="G167" s="5">
        <f>F167-E167</f>
        <v/>
      </c>
      <c r="H167" s="3" t="inlineStr">
        <is>
          <t>✅更新済・実測一致  2216→2048</t>
        </is>
      </c>
      <c r="I167" s="12" t="n">
        <v>1968</v>
      </c>
      <c r="J167" s="13">
        <f>I167-F167</f>
        <v/>
      </c>
      <c r="K167" s="14" t="inlineStr">
        <is>
          <t>値下げ -80</t>
        </is>
      </c>
    </row>
    <row r="168" ht="13.8" customHeight="1" s="9">
      <c r="A168" s="3" t="n">
        <v>164</v>
      </c>
      <c r="B168" s="3" t="inlineStr">
        <is>
          <t>湯上がりガーゼワンピース</t>
        </is>
      </c>
      <c r="C168" s="3" t="inlineStr">
        <is>
          <t>ACTIVE</t>
        </is>
      </c>
      <c r="D168" s="3" t="inlineStr">
        <is>
          <t>ピンク / フリーサイズ</t>
        </is>
      </c>
      <c r="E168" s="4" t="n">
        <v>2216</v>
      </c>
      <c r="F168" s="5" t="n">
        <v>2048</v>
      </c>
      <c r="G168" s="5">
        <f>F168-E168</f>
        <v/>
      </c>
      <c r="H168" s="3" t="inlineStr">
        <is>
          <t>✅更新済・実測一致  2216→2048</t>
        </is>
      </c>
      <c r="I168" s="12" t="n">
        <v>1968</v>
      </c>
      <c r="J168" s="13">
        <f>I168-F168</f>
        <v/>
      </c>
      <c r="K168" s="14" t="inlineStr">
        <is>
          <t>値下げ -80</t>
        </is>
      </c>
    </row>
    <row r="169" ht="13.8" customHeight="1" s="9">
      <c r="A169" s="3" t="n">
        <v>165</v>
      </c>
      <c r="B169" s="3" t="inlineStr">
        <is>
          <t>湯上がりガーゼワンピース</t>
        </is>
      </c>
      <c r="C169" s="3" t="inlineStr">
        <is>
          <t>ACTIVE</t>
        </is>
      </c>
      <c r="D169" s="3" t="inlineStr">
        <is>
          <t>ライトブルー / フリーサイズ</t>
        </is>
      </c>
      <c r="E169" s="4" t="n">
        <v>2216</v>
      </c>
      <c r="F169" s="5" t="n">
        <v>2048</v>
      </c>
      <c r="G169" s="5">
        <f>F169-E169</f>
        <v/>
      </c>
      <c r="H169" s="3" t="inlineStr">
        <is>
          <t>✅更新済・実測一致  2216→2048</t>
        </is>
      </c>
      <c r="I169" s="12" t="n">
        <v>1968</v>
      </c>
      <c r="J169" s="13">
        <f>I169-F169</f>
        <v/>
      </c>
      <c r="K169" s="14" t="inlineStr">
        <is>
          <t>値下げ -80</t>
        </is>
      </c>
    </row>
    <row r="170" ht="13.8" customHeight="1" s="9">
      <c r="A170" s="3" t="n">
        <v>166</v>
      </c>
      <c r="B170" s="3" t="inlineStr">
        <is>
          <t>癒しの指圧マット</t>
        </is>
      </c>
      <c r="C170" s="3" t="inlineStr">
        <is>
          <t>ACTIVE</t>
        </is>
      </c>
      <c r="D170" s="3" t="inlineStr">
        <is>
          <t>ブラック</t>
        </is>
      </c>
      <c r="E170" s="4" t="n">
        <v>2384</v>
      </c>
      <c r="F170" s="5" t="n">
        <v>1910</v>
      </c>
      <c r="G170" s="5">
        <f>F170-E170</f>
        <v/>
      </c>
      <c r="H170" s="3" t="inlineStr">
        <is>
          <t>✅更新済・実測一致  2384→1910</t>
        </is>
      </c>
      <c r="I170" s="12" t="n">
        <v>1648</v>
      </c>
      <c r="J170" s="13">
        <f>I170-F170</f>
        <v/>
      </c>
      <c r="K170" s="14" t="inlineStr">
        <is>
          <t>値下げ -262</t>
        </is>
      </c>
    </row>
    <row r="171" ht="13.8" customHeight="1" s="9">
      <c r="A171" s="3" t="n">
        <v>167</v>
      </c>
      <c r="B171" s="3" t="inlineStr">
        <is>
          <t>癒しの指圧マット</t>
        </is>
      </c>
      <c r="C171" s="3" t="inlineStr">
        <is>
          <t>ACTIVE</t>
        </is>
      </c>
      <c r="D171" s="3" t="inlineStr">
        <is>
          <t>ブルー</t>
        </is>
      </c>
      <c r="E171" s="4" t="n">
        <v>2384</v>
      </c>
      <c r="F171" s="5" t="n">
        <v>1910</v>
      </c>
      <c r="G171" s="5">
        <f>F171-E171</f>
        <v/>
      </c>
      <c r="H171" s="3" t="inlineStr">
        <is>
          <t>✅更新済・実測一致  2384→1910</t>
        </is>
      </c>
      <c r="I171" s="12" t="n">
        <v>1648</v>
      </c>
      <c r="J171" s="13">
        <f>I171-F171</f>
        <v/>
      </c>
      <c r="K171" s="14" t="inlineStr">
        <is>
          <t>値下げ -262</t>
        </is>
      </c>
    </row>
    <row r="172" ht="13.8" customHeight="1" s="9">
      <c r="A172" s="3" t="n">
        <v>168</v>
      </c>
      <c r="B172" s="3" t="inlineStr">
        <is>
          <t>癒しの指圧マット</t>
        </is>
      </c>
      <c r="C172" s="3" t="inlineStr">
        <is>
          <t>ACTIVE</t>
        </is>
      </c>
      <c r="D172" s="3" t="inlineStr">
        <is>
          <t>フォレストグリーン</t>
        </is>
      </c>
      <c r="E172" s="4" t="n">
        <v>2384</v>
      </c>
      <c r="F172" s="5" t="n">
        <v>1910</v>
      </c>
      <c r="G172" s="5">
        <f>F172-E172</f>
        <v/>
      </c>
      <c r="H172" s="3" t="inlineStr">
        <is>
          <t>✅更新済・実測一致  2384→1910</t>
        </is>
      </c>
      <c r="I172" s="12" t="n">
        <v>1648</v>
      </c>
      <c r="J172" s="13">
        <f>I172-F172</f>
        <v/>
      </c>
      <c r="K172" s="14" t="inlineStr">
        <is>
          <t>値下げ -262</t>
        </is>
      </c>
    </row>
    <row r="173" ht="13.8" customHeight="1" s="9">
      <c r="A173" s="3" t="n">
        <v>169</v>
      </c>
      <c r="B173" s="3" t="inlineStr">
        <is>
          <t>癒しの指圧マット</t>
        </is>
      </c>
      <c r="C173" s="3" t="inlineStr">
        <is>
          <t>ACTIVE</t>
        </is>
      </c>
      <c r="D173" s="3" t="inlineStr">
        <is>
          <t>パープル</t>
        </is>
      </c>
      <c r="E173" s="4" t="n">
        <v>2384</v>
      </c>
      <c r="F173" s="5" t="n">
        <v>1910</v>
      </c>
      <c r="G173" s="5">
        <f>F173-E173</f>
        <v/>
      </c>
      <c r="H173" s="3" t="inlineStr">
        <is>
          <t>✅更新済・実測一致  2384→1910</t>
        </is>
      </c>
      <c r="I173" s="12" t="n">
        <v>1648</v>
      </c>
      <c r="J173" s="13">
        <f>I173-F173</f>
        <v/>
      </c>
      <c r="K173" s="14" t="inlineStr">
        <is>
          <t>値下げ -262</t>
        </is>
      </c>
    </row>
    <row r="174" ht="13.8" customHeight="1" s="9">
      <c r="A174" s="3" t="n">
        <v>170</v>
      </c>
      <c r="B174" s="3" t="inlineStr">
        <is>
          <t>癒しの指圧マット</t>
        </is>
      </c>
      <c r="C174" s="3" t="inlineStr">
        <is>
          <t>ACTIVE</t>
        </is>
      </c>
      <c r="D174" s="3" t="inlineStr">
        <is>
          <t>グリーン</t>
        </is>
      </c>
      <c r="E174" s="4" t="n">
        <v>2359</v>
      </c>
      <c r="F174" s="5" t="n">
        <v>1910</v>
      </c>
      <c r="G174" s="5">
        <f>F174-E174</f>
        <v/>
      </c>
      <c r="H174" s="3" t="inlineStr">
        <is>
          <t>✅更新済・実測一致  2359→1910</t>
        </is>
      </c>
      <c r="I174" s="12" t="n">
        <v>1648</v>
      </c>
      <c r="J174" s="13">
        <f>I174-F174</f>
        <v/>
      </c>
      <c r="K174" s="14" t="inlineStr">
        <is>
          <t>値下げ -262</t>
        </is>
      </c>
    </row>
    <row r="175" ht="13.8" customHeight="1" s="9">
      <c r="A175" s="3" t="n">
        <v>171</v>
      </c>
      <c r="B175" s="3" t="inlineStr">
        <is>
          <t>癒しの指圧マット</t>
        </is>
      </c>
      <c r="C175" s="3" t="inlineStr">
        <is>
          <t>ACTIVE</t>
        </is>
      </c>
      <c r="D175" s="3" t="inlineStr">
        <is>
          <t>ライトグリーン</t>
        </is>
      </c>
      <c r="E175" s="4" t="n">
        <v>2359</v>
      </c>
      <c r="F175" s="5" t="n">
        <v>1910</v>
      </c>
      <c r="G175" s="5">
        <f>F175-E175</f>
        <v/>
      </c>
      <c r="H175" s="3" t="inlineStr">
        <is>
          <t>✅更新済・実測一致  2359→1910</t>
        </is>
      </c>
      <c r="I175" s="12" t="n">
        <v>1648</v>
      </c>
      <c r="J175" s="13">
        <f>I175-F175</f>
        <v/>
      </c>
      <c r="K175" s="14" t="inlineStr">
        <is>
          <t>値下げ -262</t>
        </is>
      </c>
    </row>
    <row r="176" ht="13.8" customHeight="1" s="9">
      <c r="A176" s="3" t="n">
        <v>172</v>
      </c>
      <c r="B176" s="3" t="inlineStr">
        <is>
          <t>癒しの指圧マット</t>
        </is>
      </c>
      <c r="C176" s="3" t="inlineStr">
        <is>
          <t>ACTIVE</t>
        </is>
      </c>
      <c r="D176" s="3" t="inlineStr">
        <is>
          <t>オレンジ</t>
        </is>
      </c>
      <c r="E176" s="4" t="n">
        <v>2359</v>
      </c>
      <c r="F176" s="5" t="n">
        <v>1910</v>
      </c>
      <c r="G176" s="5">
        <f>F176-E176</f>
        <v/>
      </c>
      <c r="H176" s="3" t="inlineStr">
        <is>
          <t>✅更新済・実測一致  2359→1910</t>
        </is>
      </c>
      <c r="I176" s="12" t="n">
        <v>1648</v>
      </c>
      <c r="J176" s="13">
        <f>I176-F176</f>
        <v/>
      </c>
      <c r="K176" s="14" t="inlineStr">
        <is>
          <t>値下げ -262</t>
        </is>
      </c>
    </row>
    <row r="177" ht="13.8" customHeight="1" s="9">
      <c r="A177" s="3" t="n">
        <v>173</v>
      </c>
      <c r="B177" s="3" t="inlineStr">
        <is>
          <t>癒しの指圧マット</t>
        </is>
      </c>
      <c r="C177" s="3" t="inlineStr">
        <is>
          <t>ACTIVE</t>
        </is>
      </c>
      <c r="D177" s="3" t="inlineStr">
        <is>
          <t>レッド</t>
        </is>
      </c>
      <c r="E177" s="4" t="n">
        <v>2359</v>
      </c>
      <c r="F177" s="5" t="n">
        <v>1910</v>
      </c>
      <c r="G177" s="5">
        <f>F177-E177</f>
        <v/>
      </c>
      <c r="H177" s="3" t="inlineStr">
        <is>
          <t>✅更新済・実測一致  2359→1910</t>
        </is>
      </c>
      <c r="I177" s="12" t="n">
        <v>1648</v>
      </c>
      <c r="J177" s="13">
        <f>I177-F177</f>
        <v/>
      </c>
      <c r="K177" s="14" t="inlineStr">
        <is>
          <t>値下げ -262</t>
        </is>
      </c>
    </row>
    <row r="178" ht="13.8" customHeight="1" s="9">
      <c r="A178" s="3" t="n">
        <v>174</v>
      </c>
      <c r="B178" s="3" t="inlineStr">
        <is>
          <t>瞬間冷却ハンディファン</t>
        </is>
      </c>
      <c r="C178" s="3" t="inlineStr">
        <is>
          <t>ACTIVE</t>
        </is>
      </c>
      <c r="D178" s="3" t="inlineStr">
        <is>
          <t>ブラック</t>
        </is>
      </c>
      <c r="E178" s="4" t="n">
        <v>2256</v>
      </c>
      <c r="F178" s="5" t="n">
        <v>2119</v>
      </c>
      <c r="G178" s="5">
        <f>F178-E178</f>
        <v/>
      </c>
      <c r="H178" s="3" t="inlineStr">
        <is>
          <t>✅更新済・実測一致  2256→2119</t>
        </is>
      </c>
      <c r="I178" s="12" t="n">
        <v>2053</v>
      </c>
      <c r="J178" s="13">
        <f>I178-F178</f>
        <v/>
      </c>
      <c r="K178" s="14" t="inlineStr">
        <is>
          <t>値下げ -66</t>
        </is>
      </c>
    </row>
    <row r="179" ht="13.8" customHeight="1" s="9">
      <c r="A179" s="3" t="n">
        <v>175</v>
      </c>
      <c r="B179" s="3" t="inlineStr">
        <is>
          <t>瞬間冷却ハンディファン</t>
        </is>
      </c>
      <c r="C179" s="3" t="inlineStr">
        <is>
          <t>ACTIVE</t>
        </is>
      </c>
      <c r="D179" s="3" t="inlineStr">
        <is>
          <t>ホワイト</t>
        </is>
      </c>
      <c r="E179" s="4" t="n">
        <v>2119</v>
      </c>
      <c r="F179" s="5" t="n">
        <v>2119</v>
      </c>
      <c r="G179" s="5">
        <f>F179-E179</f>
        <v/>
      </c>
      <c r="H179" s="3" t="inlineStr">
        <is>
          <t>✅更新済・実測一致 なし</t>
        </is>
      </c>
      <c r="I179" s="12" t="n">
        <v>2053</v>
      </c>
      <c r="J179" s="13">
        <f>I179-F179</f>
        <v/>
      </c>
      <c r="K179" s="14" t="inlineStr">
        <is>
          <t>値下げ -66</t>
        </is>
      </c>
    </row>
    <row r="180" ht="13.8" customHeight="1" s="9">
      <c r="A180" s="3" t="n">
        <v>176</v>
      </c>
      <c r="B180" s="3" t="inlineStr">
        <is>
          <t>瞬間冷感ポンチョ</t>
        </is>
      </c>
      <c r="C180" s="3" t="inlineStr">
        <is>
          <t>ACTIVE</t>
        </is>
      </c>
      <c r="D180" s="3" t="inlineStr">
        <is>
          <t>ブラック</t>
        </is>
      </c>
      <c r="E180" s="4" t="n">
        <v>1147</v>
      </c>
      <c r="F180" s="5" t="n">
        <v>1017</v>
      </c>
      <c r="G180" s="5">
        <f>F180-E180</f>
        <v/>
      </c>
      <c r="H180" s="3" t="inlineStr">
        <is>
          <t>✅更新済・実測一致  1147→1017</t>
        </is>
      </c>
      <c r="I180" s="12" t="n">
        <v>987</v>
      </c>
      <c r="J180" s="13">
        <f>I180-F180</f>
        <v/>
      </c>
      <c r="K180" s="14" t="inlineStr">
        <is>
          <t>値下げ -30</t>
        </is>
      </c>
    </row>
    <row r="181" ht="13.8" customHeight="1" s="9">
      <c r="A181" s="3" t="n">
        <v>177</v>
      </c>
      <c r="B181" s="3" t="inlineStr">
        <is>
          <t>瞬間冷感ポンチョ</t>
        </is>
      </c>
      <c r="C181" s="3" t="inlineStr">
        <is>
          <t>ACTIVE</t>
        </is>
      </c>
      <c r="D181" s="3" t="inlineStr">
        <is>
          <t>グリーン</t>
        </is>
      </c>
      <c r="E181" s="4" t="n">
        <v>1147</v>
      </c>
      <c r="F181" s="5" t="n">
        <v>1017</v>
      </c>
      <c r="G181" s="5">
        <f>F181-E181</f>
        <v/>
      </c>
      <c r="H181" s="3" t="inlineStr">
        <is>
          <t>✅更新済・実測一致  1147→1017</t>
        </is>
      </c>
      <c r="I181" s="12" t="n">
        <v>987</v>
      </c>
      <c r="J181" s="13">
        <f>I181-F181</f>
        <v/>
      </c>
      <c r="K181" s="14" t="inlineStr">
        <is>
          <t>値下げ -30</t>
        </is>
      </c>
    </row>
    <row r="182" ht="13.8" customHeight="1" s="9">
      <c r="A182" s="3" t="n">
        <v>178</v>
      </c>
      <c r="B182" s="3" t="inlineStr">
        <is>
          <t>瞬間冷感ポンチョ</t>
        </is>
      </c>
      <c r="C182" s="3" t="inlineStr">
        <is>
          <t>ACTIVE</t>
        </is>
      </c>
      <c r="D182" s="3" t="inlineStr">
        <is>
          <t>ライムグリーン</t>
        </is>
      </c>
      <c r="E182" s="4" t="n">
        <v>1147</v>
      </c>
      <c r="F182" s="5" t="n">
        <v>1017</v>
      </c>
      <c r="G182" s="5">
        <f>F182-E182</f>
        <v/>
      </c>
      <c r="H182" s="3" t="inlineStr">
        <is>
          <t>✅更新済・実測一致  1147→1017</t>
        </is>
      </c>
      <c r="I182" s="12" t="n">
        <v>987</v>
      </c>
      <c r="J182" s="13">
        <f>I182-F182</f>
        <v/>
      </c>
      <c r="K182" s="14" t="inlineStr">
        <is>
          <t>値下げ -30</t>
        </is>
      </c>
    </row>
    <row r="183" ht="13.8" customHeight="1" s="9">
      <c r="A183" s="3" t="n">
        <v>179</v>
      </c>
      <c r="B183" s="3" t="inlineStr">
        <is>
          <t>瞬間冷感ポンチョ</t>
        </is>
      </c>
      <c r="C183" s="3" t="inlineStr">
        <is>
          <t>ACTIVE</t>
        </is>
      </c>
      <c r="D183" s="3" t="inlineStr">
        <is>
          <t>イエロー</t>
        </is>
      </c>
      <c r="E183" s="4" t="n">
        <v>1147</v>
      </c>
      <c r="F183" s="5" t="n">
        <v>1017</v>
      </c>
      <c r="G183" s="5">
        <f>F183-E183</f>
        <v/>
      </c>
      <c r="H183" s="3" t="inlineStr">
        <is>
          <t>✅更新済・実測一致  1147→1017</t>
        </is>
      </c>
      <c r="I183" s="12" t="n">
        <v>987</v>
      </c>
      <c r="J183" s="13">
        <f>I183-F183</f>
        <v/>
      </c>
      <c r="K183" s="14" t="inlineStr">
        <is>
          <t>値下げ -30</t>
        </is>
      </c>
    </row>
    <row r="184" ht="13.8" customHeight="1" s="9">
      <c r="A184" s="3" t="n">
        <v>180</v>
      </c>
      <c r="B184" s="3" t="inlineStr">
        <is>
          <t>瞬間冷感ポンチョ</t>
        </is>
      </c>
      <c r="C184" s="3" t="inlineStr">
        <is>
          <t>ACTIVE</t>
        </is>
      </c>
      <c r="D184" s="3" t="inlineStr">
        <is>
          <t>グレー</t>
        </is>
      </c>
      <c r="E184" s="4" t="n">
        <v>1147</v>
      </c>
      <c r="F184" s="5" t="n">
        <v>1017</v>
      </c>
      <c r="G184" s="5">
        <f>F184-E184</f>
        <v/>
      </c>
      <c r="H184" s="3" t="inlineStr">
        <is>
          <t>✅更新済・実測一致  1147→1017</t>
        </is>
      </c>
      <c r="I184" s="12" t="n">
        <v>987</v>
      </c>
      <c r="J184" s="13">
        <f>I184-F184</f>
        <v/>
      </c>
      <c r="K184" s="14" t="inlineStr">
        <is>
          <t>値下げ -30</t>
        </is>
      </c>
    </row>
    <row r="185" ht="13.8" customHeight="1" s="9">
      <c r="A185" s="3" t="n">
        <v>181</v>
      </c>
      <c r="B185" s="3" t="inlineStr">
        <is>
          <t>瞬間冷感ポンチョ</t>
        </is>
      </c>
      <c r="C185" s="3" t="inlineStr">
        <is>
          <t>ACTIVE</t>
        </is>
      </c>
      <c r="D185" s="3" t="inlineStr">
        <is>
          <t>キャメル</t>
        </is>
      </c>
      <c r="E185" s="4" t="n">
        <v>1147</v>
      </c>
      <c r="F185" s="5" t="n">
        <v>1017</v>
      </c>
      <c r="G185" s="5">
        <f>F185-E185</f>
        <v/>
      </c>
      <c r="H185" s="3" t="inlineStr">
        <is>
          <t>✅更新済・実測一致  1147→1017</t>
        </is>
      </c>
      <c r="I185" s="12" t="n">
        <v>987</v>
      </c>
      <c r="J185" s="13">
        <f>I185-F185</f>
        <v/>
      </c>
      <c r="K185" s="14" t="inlineStr">
        <is>
          <t>値下げ -30</t>
        </is>
      </c>
    </row>
    <row r="186" ht="13.8" customHeight="1" s="9">
      <c r="A186" s="3" t="n">
        <v>182</v>
      </c>
      <c r="B186" s="3" t="inlineStr">
        <is>
          <t>瞬間冷感ポンチョ</t>
        </is>
      </c>
      <c r="C186" s="3" t="inlineStr">
        <is>
          <t>ACTIVE</t>
        </is>
      </c>
      <c r="D186" s="3" t="inlineStr">
        <is>
          <t>パープル</t>
        </is>
      </c>
      <c r="E186" s="4" t="n">
        <v>1147</v>
      </c>
      <c r="F186" s="5" t="n">
        <v>1017</v>
      </c>
      <c r="G186" s="5">
        <f>F186-E186</f>
        <v/>
      </c>
      <c r="H186" s="3" t="inlineStr">
        <is>
          <t>✅更新済・実測一致  1147→1017</t>
        </is>
      </c>
      <c r="I186" s="12" t="n">
        <v>987</v>
      </c>
      <c r="J186" s="13">
        <f>I186-F186</f>
        <v/>
      </c>
      <c r="K186" s="14" t="inlineStr">
        <is>
          <t>値下げ -30</t>
        </is>
      </c>
    </row>
    <row r="187" ht="13.8" customHeight="1" s="9">
      <c r="A187" s="3" t="n">
        <v>183</v>
      </c>
      <c r="B187" s="3" t="inlineStr">
        <is>
          <t>瞬間冷感ポンチョ</t>
        </is>
      </c>
      <c r="C187" s="3" t="inlineStr">
        <is>
          <t>ACTIVE</t>
        </is>
      </c>
      <c r="D187" s="3" t="inlineStr">
        <is>
          <t>ローズピンク</t>
        </is>
      </c>
      <c r="E187" s="4" t="n">
        <v>1147</v>
      </c>
      <c r="F187" s="5" t="n">
        <v>1017</v>
      </c>
      <c r="G187" s="5">
        <f>F187-E187</f>
        <v/>
      </c>
      <c r="H187" s="3" t="inlineStr">
        <is>
          <t>✅更新済・実測一致  1147→1017</t>
        </is>
      </c>
      <c r="I187" s="12" t="n">
        <v>987</v>
      </c>
      <c r="J187" s="13">
        <f>I187-F187</f>
        <v/>
      </c>
      <c r="K187" s="14" t="inlineStr">
        <is>
          <t>値下げ -30</t>
        </is>
      </c>
    </row>
    <row r="188" ht="13.8" customHeight="1" s="9">
      <c r="A188" s="3" t="n">
        <v>184</v>
      </c>
      <c r="B188" s="3" t="inlineStr">
        <is>
          <t>瞬間冷感ポンチョ</t>
        </is>
      </c>
      <c r="C188" s="3" t="inlineStr">
        <is>
          <t>ACTIVE</t>
        </is>
      </c>
      <c r="D188" s="3" t="inlineStr">
        <is>
          <t>ブルー</t>
        </is>
      </c>
      <c r="E188" s="4" t="n">
        <v>1147</v>
      </c>
      <c r="F188" s="5" t="n">
        <v>1017</v>
      </c>
      <c r="G188" s="5">
        <f>F188-E188</f>
        <v/>
      </c>
      <c r="H188" s="3" t="inlineStr">
        <is>
          <t>✅更新済・実測一致  1147→1017</t>
        </is>
      </c>
      <c r="I188" s="12" t="n">
        <v>987</v>
      </c>
      <c r="J188" s="13">
        <f>I188-F188</f>
        <v/>
      </c>
      <c r="K188" s="14" t="inlineStr">
        <is>
          <t>値下げ -30</t>
        </is>
      </c>
    </row>
    <row r="189" ht="13.8" customHeight="1" s="9">
      <c r="A189" s="6" t="n">
        <v>185</v>
      </c>
      <c r="B189" s="6" t="inlineStr">
        <is>
          <t>UVハット（旧・無名商品）</t>
        </is>
      </c>
      <c r="C189" s="6" t="inlineStr">
        <is>
          <t>DRAFT</t>
        </is>
      </c>
      <c r="D189" s="6" t="inlineStr">
        <is>
          <t>レモンイエロー / Adjustable</t>
        </is>
      </c>
      <c r="E189" s="7" t="n">
        <v>989</v>
      </c>
      <c r="F189" s="5" t="n"/>
      <c r="G189" s="5" t="n"/>
      <c r="H189" s="6" t="inlineStr">
        <is>
          <t>対象外(非ACTIVE)</t>
        </is>
      </c>
      <c r="I189" s="17" t="inlineStr">
        <is>
          <t>—</t>
        </is>
      </c>
      <c r="J189" s="17" t="inlineStr">
        <is>
          <t>—</t>
        </is>
      </c>
      <c r="K189" s="17" t="inlineStr">
        <is>
          <t>対象外</t>
        </is>
      </c>
    </row>
    <row r="190" ht="13.8" customHeight="1" s="9">
      <c r="A190" s="6" t="n">
        <v>186</v>
      </c>
      <c r="B190" s="6" t="inlineStr">
        <is>
          <t>UVハット（旧・無名商品）</t>
        </is>
      </c>
      <c r="C190" s="6" t="inlineStr">
        <is>
          <t>DRAFT</t>
        </is>
      </c>
      <c r="D190" s="6" t="inlineStr">
        <is>
          <t>ブラック / Adjustable</t>
        </is>
      </c>
      <c r="E190" s="7" t="n">
        <v>989</v>
      </c>
      <c r="F190" s="5" t="n"/>
      <c r="G190" s="5" t="n"/>
      <c r="H190" s="6" t="inlineStr">
        <is>
          <t>対象外(非ACTIVE)</t>
        </is>
      </c>
      <c r="I190" s="17" t="inlineStr">
        <is>
          <t>—</t>
        </is>
      </c>
      <c r="J190" s="17" t="inlineStr">
        <is>
          <t>—</t>
        </is>
      </c>
      <c r="K190" s="17" t="inlineStr">
        <is>
          <t>対象外</t>
        </is>
      </c>
    </row>
    <row r="191" ht="13.8" customHeight="1" s="9">
      <c r="A191" s="6" t="n">
        <v>187</v>
      </c>
      <c r="B191" s="6" t="inlineStr">
        <is>
          <t>UVハット（旧・無名商品）</t>
        </is>
      </c>
      <c r="C191" s="6" t="inlineStr">
        <is>
          <t>DRAFT</t>
        </is>
      </c>
      <c r="D191" s="6" t="inlineStr">
        <is>
          <t>ベージュ / Adjustable</t>
        </is>
      </c>
      <c r="E191" s="7" t="n">
        <v>989</v>
      </c>
      <c r="F191" s="5" t="n"/>
      <c r="G191" s="5" t="n"/>
      <c r="H191" s="6" t="inlineStr">
        <is>
          <t>対象外(非ACTIVE)</t>
        </is>
      </c>
      <c r="I191" s="17" t="inlineStr">
        <is>
          <t>—</t>
        </is>
      </c>
      <c r="J191" s="17" t="inlineStr">
        <is>
          <t>—</t>
        </is>
      </c>
      <c r="K191" s="17" t="inlineStr">
        <is>
          <t>対象外</t>
        </is>
      </c>
    </row>
    <row r="192" ht="13.8" customHeight="1" s="9">
      <c r="A192" s="6" t="n">
        <v>188</v>
      </c>
      <c r="B192" s="6" t="inlineStr">
        <is>
          <t>UVハット（旧・無名商品）</t>
        </is>
      </c>
      <c r="C192" s="6" t="inlineStr">
        <is>
          <t>DRAFT</t>
        </is>
      </c>
      <c r="D192" s="6" t="inlineStr">
        <is>
          <t>カーキ / Adjustable</t>
        </is>
      </c>
      <c r="E192" s="7" t="n">
        <v>989</v>
      </c>
      <c r="F192" s="5" t="n"/>
      <c r="G192" s="5" t="n"/>
      <c r="H192" s="6" t="inlineStr">
        <is>
          <t>対象外(非ACTIVE)</t>
        </is>
      </c>
      <c r="I192" s="17" t="inlineStr">
        <is>
          <t>—</t>
        </is>
      </c>
      <c r="J192" s="17" t="inlineStr">
        <is>
          <t>—</t>
        </is>
      </c>
      <c r="K192" s="17" t="inlineStr">
        <is>
          <t>対象外</t>
        </is>
      </c>
    </row>
    <row r="193" ht="13.8" customHeight="1" s="9">
      <c r="A193" s="6" t="n">
        <v>189</v>
      </c>
      <c r="B193" s="6" t="inlineStr">
        <is>
          <t>ナノバブルシャワーヘッド (コピー)</t>
        </is>
      </c>
      <c r="C193" s="6" t="inlineStr">
        <is>
          <t>DRAFT</t>
        </is>
      </c>
      <c r="D193" s="6" t="inlineStr">
        <is>
          <t>Default Title</t>
        </is>
      </c>
      <c r="E193" s="7" t="n">
        <v>2636</v>
      </c>
      <c r="F193" s="5" t="n"/>
      <c r="G193" s="5" t="n"/>
      <c r="H193" s="6" t="inlineStr">
        <is>
          <t>対象外(非ACTIVE)</t>
        </is>
      </c>
      <c r="I193" s="17" t="inlineStr">
        <is>
          <t>—</t>
        </is>
      </c>
      <c r="J193" s="17" t="inlineStr">
        <is>
          <t>—</t>
        </is>
      </c>
      <c r="K193" s="17" t="inlineStr">
        <is>
          <t>対象外</t>
        </is>
      </c>
    </row>
    <row r="194" ht="13.8" customHeight="1" s="9">
      <c r="A194" s="6" t="n">
        <v>190</v>
      </c>
      <c r="B194" s="6" t="inlineStr">
        <is>
          <t>ナノバブルシャワーヘッド（旧・10万個表記）</t>
        </is>
      </c>
      <c r="C194" s="6" t="inlineStr">
        <is>
          <t>DRAFT</t>
        </is>
      </c>
      <c r="D194" s="6" t="inlineStr">
        <is>
          <t>Default Title</t>
        </is>
      </c>
      <c r="E194" s="7" t="n">
        <v>3952</v>
      </c>
      <c r="F194" s="5" t="n"/>
      <c r="G194" s="5" t="n"/>
      <c r="H194" s="6" t="inlineStr">
        <is>
          <t>対象外(非ACTIVE)</t>
        </is>
      </c>
      <c r="I194" s="17" t="inlineStr">
        <is>
          <t>—</t>
        </is>
      </c>
      <c r="J194" s="17" t="inlineStr">
        <is>
          <t>—</t>
        </is>
      </c>
      <c r="K194" s="17" t="inlineStr">
        <is>
          <t>対象外</t>
        </is>
      </c>
    </row>
    <row r="195" ht="13.8" customHeight="1" s="9">
      <c r="A195" s="6" t="n">
        <v>191</v>
      </c>
      <c r="B195" s="6" t="inlineStr">
        <is>
          <t>ネックマッサージャー（DRAFT版）</t>
        </is>
      </c>
      <c r="C195" s="6" t="inlineStr">
        <is>
          <t>DRAFT</t>
        </is>
      </c>
      <c r="D195" s="6" t="inlineStr">
        <is>
          <t>Default Title</t>
        </is>
      </c>
      <c r="E195" s="7" t="n">
        <v>2636</v>
      </c>
      <c r="F195" s="5" t="n"/>
      <c r="G195" s="5" t="n"/>
      <c r="H195" s="6" t="inlineStr">
        <is>
          <t>対象外(非ACTIVE)</t>
        </is>
      </c>
      <c r="I195" s="17" t="inlineStr">
        <is>
          <t>—</t>
        </is>
      </c>
      <c r="J195" s="17" t="inlineStr">
        <is>
          <t>—</t>
        </is>
      </c>
      <c r="K195" s="17" t="inlineStr">
        <is>
          <t>対象外</t>
        </is>
      </c>
    </row>
    <row r="196" ht="13.8" customHeight="1" s="9">
      <c r="A196" s="6" t="n">
        <v>192</v>
      </c>
      <c r="B196" s="6" t="inlineStr">
        <is>
          <t>ポータブルミキサー</t>
        </is>
      </c>
      <c r="C196" s="6" t="inlineStr">
        <is>
          <t>DRAFT</t>
        </is>
      </c>
      <c r="D196" s="6" t="inlineStr">
        <is>
          <t>グリーン</t>
        </is>
      </c>
      <c r="E196" s="7" t="n">
        <v>2527</v>
      </c>
      <c r="F196" s="5" t="n"/>
      <c r="G196" s="5" t="n"/>
      <c r="H196" s="6" t="inlineStr">
        <is>
          <t>対象外(非ACTIVE)</t>
        </is>
      </c>
      <c r="I196" s="17" t="inlineStr">
        <is>
          <t>—</t>
        </is>
      </c>
      <c r="J196" s="17" t="inlineStr">
        <is>
          <t>—</t>
        </is>
      </c>
      <c r="K196" s="17" t="inlineStr">
        <is>
          <t>対象外</t>
        </is>
      </c>
    </row>
    <row r="197" ht="13.8" customHeight="1" s="9">
      <c r="A197" s="6" t="n">
        <v>193</v>
      </c>
      <c r="B197" s="6" t="inlineStr">
        <is>
          <t>ポータブルミキサー</t>
        </is>
      </c>
      <c r="C197" s="6" t="inlineStr">
        <is>
          <t>DRAFT</t>
        </is>
      </c>
      <c r="D197" s="6" t="inlineStr">
        <is>
          <t>オレンジ</t>
        </is>
      </c>
      <c r="E197" s="7" t="n">
        <v>2527</v>
      </c>
      <c r="F197" s="5" t="n"/>
      <c r="G197" s="5" t="n"/>
      <c r="H197" s="6" t="inlineStr">
        <is>
          <t>対象外(非ACTIVE)</t>
        </is>
      </c>
      <c r="I197" s="17" t="inlineStr">
        <is>
          <t>—</t>
        </is>
      </c>
      <c r="J197" s="17" t="inlineStr">
        <is>
          <t>—</t>
        </is>
      </c>
      <c r="K197" s="17" t="inlineStr">
        <is>
          <t>対象外</t>
        </is>
      </c>
    </row>
    <row r="198" ht="13.8" customHeight="1" s="9">
      <c r="A198" s="6" t="n">
        <v>194</v>
      </c>
      <c r="B198" s="6" t="inlineStr">
        <is>
          <t>ポータブルミキサー</t>
        </is>
      </c>
      <c r="C198" s="6" t="inlineStr">
        <is>
          <t>DRAFT</t>
        </is>
      </c>
      <c r="D198" s="6" t="inlineStr">
        <is>
          <t>パープル</t>
        </is>
      </c>
      <c r="E198" s="7" t="n">
        <v>2527</v>
      </c>
      <c r="F198" s="5" t="n"/>
      <c r="G198" s="5" t="n"/>
      <c r="H198" s="6" t="inlineStr">
        <is>
          <t>対象外(非ACTIVE)</t>
        </is>
      </c>
      <c r="I198" s="17" t="inlineStr">
        <is>
          <t>—</t>
        </is>
      </c>
      <c r="J198" s="17" t="inlineStr">
        <is>
          <t>—</t>
        </is>
      </c>
      <c r="K198" s="17" t="inlineStr">
        <is>
          <t>対象外</t>
        </is>
      </c>
    </row>
    <row r="199" ht="13.8" customHeight="1" s="9">
      <c r="A199" s="6" t="n">
        <v>195</v>
      </c>
      <c r="B199" s="6" t="inlineStr">
        <is>
          <t>ポータブルミキサー (コピー)</t>
        </is>
      </c>
      <c r="C199" s="6" t="inlineStr">
        <is>
          <t>DRAFT</t>
        </is>
      </c>
      <c r="D199" s="6" t="inlineStr">
        <is>
          <t>グリーン</t>
        </is>
      </c>
      <c r="E199" s="7" t="n">
        <v>2527</v>
      </c>
      <c r="F199" s="5" t="n"/>
      <c r="G199" s="5" t="n"/>
      <c r="H199" s="6" t="inlineStr">
        <is>
          <t>対象外(非ACTIVE)</t>
        </is>
      </c>
      <c r="I199" s="17" t="inlineStr">
        <is>
          <t>—</t>
        </is>
      </c>
      <c r="J199" s="17" t="inlineStr">
        <is>
          <t>—</t>
        </is>
      </c>
      <c r="K199" s="17" t="inlineStr">
        <is>
          <t>対象外</t>
        </is>
      </c>
    </row>
    <row r="200" ht="13.8" customHeight="1" s="9">
      <c r="A200" s="6" t="n">
        <v>196</v>
      </c>
      <c r="B200" s="6" t="inlineStr">
        <is>
          <t>ポータブルミキサー (コピー)</t>
        </is>
      </c>
      <c r="C200" s="6" t="inlineStr">
        <is>
          <t>DRAFT</t>
        </is>
      </c>
      <c r="D200" s="6" t="inlineStr">
        <is>
          <t>オレンジ</t>
        </is>
      </c>
      <c r="E200" s="7" t="n">
        <v>2527</v>
      </c>
      <c r="F200" s="5" t="n"/>
      <c r="G200" s="5" t="n"/>
      <c r="H200" s="6" t="inlineStr">
        <is>
          <t>対象外(非ACTIVE)</t>
        </is>
      </c>
      <c r="I200" s="17" t="inlineStr">
        <is>
          <t>—</t>
        </is>
      </c>
      <c r="J200" s="17" t="inlineStr">
        <is>
          <t>—</t>
        </is>
      </c>
      <c r="K200" s="17" t="inlineStr">
        <is>
          <t>対象外</t>
        </is>
      </c>
    </row>
    <row r="201" ht="13.8" customHeight="1" s="9">
      <c r="A201" s="6" t="n">
        <v>197</v>
      </c>
      <c r="B201" s="6" t="inlineStr">
        <is>
          <t>ポータブルミキサー (コピー)</t>
        </is>
      </c>
      <c r="C201" s="6" t="inlineStr">
        <is>
          <t>DRAFT</t>
        </is>
      </c>
      <c r="D201" s="6" t="inlineStr">
        <is>
          <t>パープル</t>
        </is>
      </c>
      <c r="E201" s="7" t="n">
        <v>2527</v>
      </c>
      <c r="F201" s="5" t="n"/>
      <c r="G201" s="5" t="n"/>
      <c r="H201" s="6" t="inlineStr">
        <is>
          <t>対象外(非ACTIVE)</t>
        </is>
      </c>
      <c r="I201" s="17" t="inlineStr">
        <is>
          <t>—</t>
        </is>
      </c>
      <c r="J201" s="17" t="inlineStr">
        <is>
          <t>—</t>
        </is>
      </c>
      <c r="K201" s="17" t="inlineStr">
        <is>
          <t>対象外</t>
        </is>
      </c>
    </row>
    <row r="202" ht="13.8" customHeight="1" s="9">
      <c r="A202" s="6" t="n">
        <v>198</v>
      </c>
      <c r="B202" s="6" t="inlineStr">
        <is>
          <t>ポータブルミキサー（Default流用）</t>
        </is>
      </c>
      <c r="C202" s="6" t="inlineStr">
        <is>
          <t>DRAFT</t>
        </is>
      </c>
      <c r="D202" s="6" t="inlineStr">
        <is>
          <t>Default Title</t>
        </is>
      </c>
      <c r="E202" s="7" t="n">
        <v>2636</v>
      </c>
      <c r="F202" s="5" t="n"/>
      <c r="G202" s="5" t="n"/>
      <c r="H202" s="6" t="inlineStr">
        <is>
          <t>対象外(非ACTIVE)</t>
        </is>
      </c>
      <c r="I202" s="17" t="inlineStr">
        <is>
          <t>—</t>
        </is>
      </c>
      <c r="J202" s="17" t="inlineStr">
        <is>
          <t>—</t>
        </is>
      </c>
      <c r="K202" s="17" t="inlineStr">
        <is>
          <t>対象外</t>
        </is>
      </c>
    </row>
    <row r="203" ht="13.8" customHeight="1" s="9">
      <c r="A203" s="6" t="n">
        <v>199</v>
      </c>
      <c r="B203" s="6" t="inlineStr">
        <is>
          <t>マグネット壁掛けディスペンサー</t>
        </is>
      </c>
      <c r="C203" s="6" t="inlineStr">
        <is>
          <t>DRAFT</t>
        </is>
      </c>
      <c r="D203" s="6" t="inlineStr">
        <is>
          <t>Default Title</t>
        </is>
      </c>
      <c r="E203" s="7" t="n">
        <v>2636</v>
      </c>
      <c r="F203" s="5" t="n"/>
      <c r="G203" s="5" t="n"/>
      <c r="H203" s="6" t="inlineStr">
        <is>
          <t>対象外(非ACTIVE)</t>
        </is>
      </c>
      <c r="I203" s="17" t="inlineStr">
        <is>
          <t>—</t>
        </is>
      </c>
      <c r="J203" s="17" t="inlineStr">
        <is>
          <t>—</t>
        </is>
      </c>
      <c r="K203" s="17" t="inlineStr">
        <is>
          <t>対象外</t>
        </is>
      </c>
    </row>
    <row r="204" ht="13.8" customHeight="1" s="9">
      <c r="A204" s="6" t="n">
        <v>200</v>
      </c>
      <c r="B204" s="6" t="inlineStr">
        <is>
          <t>保温プレート (20260228)</t>
        </is>
      </c>
      <c r="C204" s="6" t="inlineStr">
        <is>
          <t>DRAFT</t>
        </is>
      </c>
      <c r="D204" s="6" t="inlineStr">
        <is>
          <t>Default Title</t>
        </is>
      </c>
      <c r="E204" s="7" t="n">
        <v>3952</v>
      </c>
      <c r="F204" s="5" t="n"/>
      <c r="G204" s="5" t="n"/>
      <c r="H204" s="6" t="inlineStr">
        <is>
          <t>対象外(非ACTIVE)</t>
        </is>
      </c>
      <c r="I204" s="17" t="inlineStr">
        <is>
          <t>—</t>
        </is>
      </c>
      <c r="J204" s="17" t="inlineStr">
        <is>
          <t>—</t>
        </is>
      </c>
      <c r="K204" s="17" t="inlineStr">
        <is>
          <t>対象外</t>
        </is>
      </c>
    </row>
    <row r="205" ht="13.8" customHeight="1" s="9">
      <c r="A205" s="6" t="n">
        <v>201</v>
      </c>
      <c r="B205" s="6" t="inlineStr">
        <is>
          <t>保温プレート (コピー)</t>
        </is>
      </c>
      <c r="C205" s="6" t="inlineStr">
        <is>
          <t>DRAFT</t>
        </is>
      </c>
      <c r="D205" s="6" t="inlineStr">
        <is>
          <t>Default Title</t>
        </is>
      </c>
      <c r="E205" s="7" t="n">
        <v>3952</v>
      </c>
      <c r="F205" s="5" t="n"/>
      <c r="G205" s="5" t="n"/>
      <c r="H205" s="6" t="inlineStr">
        <is>
          <t>対象外(非ACTIVE)</t>
        </is>
      </c>
      <c r="I205" s="17" t="inlineStr">
        <is>
          <t>—</t>
        </is>
      </c>
      <c r="J205" s="17" t="inlineStr">
        <is>
          <t>—</t>
        </is>
      </c>
      <c r="K205" s="17" t="inlineStr">
        <is>
          <t>対象外</t>
        </is>
      </c>
    </row>
    <row r="206" ht="13.8" customHeight="1" s="9">
      <c r="A206" s="6" t="n">
        <v>202</v>
      </c>
      <c r="B206" s="6" t="inlineStr">
        <is>
          <t>偏光・調光サングラス（旧）</t>
        </is>
      </c>
      <c r="C206" s="6" t="inlineStr">
        <is>
          <t>DRAFT</t>
        </is>
      </c>
      <c r="D206" s="6" t="inlineStr">
        <is>
          <t>ブラック</t>
        </is>
      </c>
      <c r="E206" s="7" t="n">
        <v>831</v>
      </c>
      <c r="F206" s="5" t="n"/>
      <c r="G206" s="5" t="n"/>
      <c r="H206" s="6" t="inlineStr">
        <is>
          <t>対象外(非ACTIVE)</t>
        </is>
      </c>
      <c r="I206" s="17" t="inlineStr">
        <is>
          <t>—</t>
        </is>
      </c>
      <c r="J206" s="17" t="inlineStr">
        <is>
          <t>—</t>
        </is>
      </c>
      <c r="K206" s="17" t="inlineStr">
        <is>
          <t>対象外</t>
        </is>
      </c>
    </row>
    <row r="207" ht="13.8" customHeight="1" s="9">
      <c r="A207" s="6" t="n">
        <v>203</v>
      </c>
      <c r="B207" s="6" t="inlineStr">
        <is>
          <t>偏光・調光サングラス（旧）</t>
        </is>
      </c>
      <c r="C207" s="6" t="inlineStr">
        <is>
          <t>DRAFT</t>
        </is>
      </c>
      <c r="D207" s="6" t="inlineStr">
        <is>
          <t>ブルー</t>
        </is>
      </c>
      <c r="E207" s="7" t="n">
        <v>729</v>
      </c>
      <c r="F207" s="5" t="n"/>
      <c r="G207" s="5" t="n"/>
      <c r="H207" s="6" t="inlineStr">
        <is>
          <t>対象外(非ACTIVE)</t>
        </is>
      </c>
      <c r="I207" s="17" t="inlineStr">
        <is>
          <t>—</t>
        </is>
      </c>
      <c r="J207" s="17" t="inlineStr">
        <is>
          <t>—</t>
        </is>
      </c>
      <c r="K207" s="17" t="inlineStr">
        <is>
          <t>対象外</t>
        </is>
      </c>
    </row>
    <row r="208" ht="13.8" customHeight="1" s="9">
      <c r="A208" s="6" t="n">
        <v>204</v>
      </c>
      <c r="B208" s="6" t="inlineStr">
        <is>
          <t>偏光・調光サングラス（旧）</t>
        </is>
      </c>
      <c r="C208" s="6" t="inlineStr">
        <is>
          <t>DRAFT</t>
        </is>
      </c>
      <c r="D208" s="6" t="inlineStr">
        <is>
          <t>カラフル</t>
        </is>
      </c>
      <c r="E208" s="7" t="n">
        <v>729</v>
      </c>
      <c r="F208" s="5" t="n"/>
      <c r="G208" s="5" t="n"/>
      <c r="H208" s="6" t="inlineStr">
        <is>
          <t>対象外(非ACTIVE)</t>
        </is>
      </c>
      <c r="I208" s="17" t="inlineStr">
        <is>
          <t>—</t>
        </is>
      </c>
      <c r="J208" s="17" t="inlineStr">
        <is>
          <t>—</t>
        </is>
      </c>
      <c r="K208" s="17" t="inlineStr">
        <is>
          <t>対象外</t>
        </is>
      </c>
    </row>
    <row r="209" ht="13.8" customHeight="1" s="9">
      <c r="A209" s="6" t="n">
        <v>205</v>
      </c>
      <c r="B209" s="6" t="inlineStr">
        <is>
          <t>偏光・調光サングラス（旧）</t>
        </is>
      </c>
      <c r="C209" s="6" t="inlineStr">
        <is>
          <t>DRAFT</t>
        </is>
      </c>
      <c r="D209" s="6" t="inlineStr">
        <is>
          <t>グリーン</t>
        </is>
      </c>
      <c r="E209" s="7" t="n">
        <v>729</v>
      </c>
      <c r="F209" s="5" t="n"/>
      <c r="G209" s="5" t="n"/>
      <c r="H209" s="6" t="inlineStr">
        <is>
          <t>対象外(非ACTIVE)</t>
        </is>
      </c>
      <c r="I209" s="17" t="inlineStr">
        <is>
          <t>—</t>
        </is>
      </c>
      <c r="J209" s="17" t="inlineStr">
        <is>
          <t>—</t>
        </is>
      </c>
      <c r="K209" s="17" t="inlineStr">
        <is>
          <t>対象外</t>
        </is>
      </c>
    </row>
    <row r="210" ht="13.8" customHeight="1" s="9">
      <c r="A210" s="6" t="n">
        <v>206</v>
      </c>
      <c r="B210" s="6" t="inlineStr">
        <is>
          <t>偏光・調光サングラス（旧）</t>
        </is>
      </c>
      <c r="C210" s="6" t="inlineStr">
        <is>
          <t>DRAFT</t>
        </is>
      </c>
      <c r="D210" s="6" t="inlineStr">
        <is>
          <t>レッド</t>
        </is>
      </c>
      <c r="E210" s="7" t="n">
        <v>729</v>
      </c>
      <c r="F210" s="5" t="n"/>
      <c r="G210" s="5" t="n"/>
      <c r="H210" s="6" t="inlineStr">
        <is>
          <t>対象外(非ACTIVE)</t>
        </is>
      </c>
      <c r="I210" s="17" t="inlineStr">
        <is>
          <t>—</t>
        </is>
      </c>
      <c r="J210" s="17" t="inlineStr">
        <is>
          <t>—</t>
        </is>
      </c>
      <c r="K210" s="17" t="inlineStr">
        <is>
          <t>対象外</t>
        </is>
      </c>
    </row>
    <row r="211" ht="13.8" customHeight="1" s="9">
      <c r="A211" s="6" t="n">
        <v>207</v>
      </c>
      <c r="B211" s="6" t="inlineStr">
        <is>
          <t>偏光・調光サングラス（旧）</t>
        </is>
      </c>
      <c r="C211" s="6" t="inlineStr">
        <is>
          <t>DRAFT</t>
        </is>
      </c>
      <c r="D211" s="6" t="inlineStr">
        <is>
          <t>シルバー</t>
        </is>
      </c>
      <c r="E211" s="7" t="n">
        <v>729</v>
      </c>
      <c r="F211" s="5" t="n"/>
      <c r="G211" s="5" t="n"/>
      <c r="H211" s="6" t="inlineStr">
        <is>
          <t>対象外(非ACTIVE)</t>
        </is>
      </c>
      <c r="I211" s="17" t="inlineStr">
        <is>
          <t>—</t>
        </is>
      </c>
      <c r="J211" s="17" t="inlineStr">
        <is>
          <t>—</t>
        </is>
      </c>
      <c r="K211" s="17" t="inlineStr">
        <is>
          <t>対象外</t>
        </is>
      </c>
    </row>
    <row r="212" ht="13.8" customHeight="1" s="9">
      <c r="A212" s="6" t="n">
        <v>208</v>
      </c>
      <c r="B212" s="6" t="inlineStr">
        <is>
          <t>完全遮光フリル日傘</t>
        </is>
      </c>
      <c r="C212" s="6" t="inlineStr">
        <is>
          <t>DRAFT</t>
        </is>
      </c>
      <c r="D212" s="6" t="inlineStr">
        <is>
          <t>ベージュ</t>
        </is>
      </c>
      <c r="E212" s="7" t="n">
        <v>2731</v>
      </c>
      <c r="F212" s="5" t="n"/>
      <c r="G212" s="5" t="n"/>
      <c r="H212" s="6" t="inlineStr">
        <is>
          <t>対象外(非ACTIVE)</t>
        </is>
      </c>
      <c r="I212" s="17" t="inlineStr">
        <is>
          <t>—</t>
        </is>
      </c>
      <c r="J212" s="17" t="inlineStr">
        <is>
          <t>—</t>
        </is>
      </c>
      <c r="K212" s="17" t="inlineStr">
        <is>
          <t>対象外</t>
        </is>
      </c>
    </row>
    <row r="213" ht="13.8" customHeight="1" s="9">
      <c r="A213" s="6" t="n">
        <v>209</v>
      </c>
      <c r="B213" s="6" t="inlineStr">
        <is>
          <t>完全遮光フリル日傘</t>
        </is>
      </c>
      <c r="C213" s="6" t="inlineStr">
        <is>
          <t>DRAFT</t>
        </is>
      </c>
      <c r="D213" s="6" t="inlineStr">
        <is>
          <t>ブラック</t>
        </is>
      </c>
      <c r="E213" s="7" t="n">
        <v>2731</v>
      </c>
      <c r="F213" s="5" t="n"/>
      <c r="G213" s="5" t="n"/>
      <c r="H213" s="6" t="inlineStr">
        <is>
          <t>対象外(非ACTIVE)</t>
        </is>
      </c>
      <c r="I213" s="17" t="inlineStr">
        <is>
          <t>—</t>
        </is>
      </c>
      <c r="J213" s="17" t="inlineStr">
        <is>
          <t>—</t>
        </is>
      </c>
      <c r="K213" s="17" t="inlineStr">
        <is>
          <t>対象外</t>
        </is>
      </c>
    </row>
    <row r="214" ht="13.8" customHeight="1" s="9">
      <c r="A214" s="6" t="n">
        <v>210</v>
      </c>
      <c r="B214" s="6" t="inlineStr">
        <is>
          <t>完全遮光フリル日傘</t>
        </is>
      </c>
      <c r="C214" s="6" t="inlineStr">
        <is>
          <t>DRAFT</t>
        </is>
      </c>
      <c r="D214" s="6" t="inlineStr">
        <is>
          <t>ダークブルー</t>
        </is>
      </c>
      <c r="E214" s="7" t="n">
        <v>2731</v>
      </c>
      <c r="F214" s="5" t="n"/>
      <c r="G214" s="5" t="n"/>
      <c r="H214" s="6" t="inlineStr">
        <is>
          <t>対象外(非ACTIVE)</t>
        </is>
      </c>
      <c r="I214" s="17" t="inlineStr">
        <is>
          <t>—</t>
        </is>
      </c>
      <c r="J214" s="17" t="inlineStr">
        <is>
          <t>—</t>
        </is>
      </c>
      <c r="K214" s="17" t="inlineStr">
        <is>
          <t>対象外</t>
        </is>
      </c>
    </row>
    <row r="215" ht="13.8" customHeight="1" s="9">
      <c r="A215" s="6" t="n">
        <v>211</v>
      </c>
      <c r="B215" s="6" t="inlineStr">
        <is>
          <t>完全遮光フリル日傘</t>
        </is>
      </c>
      <c r="C215" s="6" t="inlineStr">
        <is>
          <t>DRAFT</t>
        </is>
      </c>
      <c r="D215" s="6" t="inlineStr">
        <is>
          <t>ライトグリーン</t>
        </is>
      </c>
      <c r="E215" s="7" t="n">
        <v>2731</v>
      </c>
      <c r="F215" s="5" t="n"/>
      <c r="G215" s="5" t="n"/>
      <c r="H215" s="6" t="inlineStr">
        <is>
          <t>対象外(非ACTIVE)</t>
        </is>
      </c>
      <c r="I215" s="17" t="inlineStr">
        <is>
          <t>—</t>
        </is>
      </c>
      <c r="J215" s="17" t="inlineStr">
        <is>
          <t>—</t>
        </is>
      </c>
      <c r="K215" s="17" t="inlineStr">
        <is>
          <t>対象外</t>
        </is>
      </c>
    </row>
    <row r="216" ht="13.8" customHeight="1" s="9">
      <c r="A216" s="6" t="n">
        <v>212</v>
      </c>
      <c r="B216" s="6" t="inlineStr">
        <is>
          <t>完全遮光フリル日傘</t>
        </is>
      </c>
      <c r="C216" s="6" t="inlineStr">
        <is>
          <t>DRAFT</t>
        </is>
      </c>
      <c r="D216" s="6" t="inlineStr">
        <is>
          <t>レイクブルー</t>
        </is>
      </c>
      <c r="E216" s="7" t="n">
        <v>2731</v>
      </c>
      <c r="F216" s="5" t="n"/>
      <c r="G216" s="5" t="n"/>
      <c r="H216" s="6" t="inlineStr">
        <is>
          <t>対象外(非ACTIVE)</t>
        </is>
      </c>
      <c r="I216" s="17" t="inlineStr">
        <is>
          <t>—</t>
        </is>
      </c>
      <c r="J216" s="17" t="inlineStr">
        <is>
          <t>—</t>
        </is>
      </c>
      <c r="K216" s="17" t="inlineStr">
        <is>
          <t>対象外</t>
        </is>
      </c>
    </row>
    <row r="217" ht="13.8" customHeight="1" s="9">
      <c r="A217" s="6" t="n">
        <v>213</v>
      </c>
      <c r="B217" s="6" t="inlineStr">
        <is>
          <t>完全遮光フリル日傘</t>
        </is>
      </c>
      <c r="C217" s="6" t="inlineStr">
        <is>
          <t>DRAFT</t>
        </is>
      </c>
      <c r="D217" s="6" t="inlineStr">
        <is>
          <t>ライトパープル</t>
        </is>
      </c>
      <c r="E217" s="7" t="n">
        <v>2731</v>
      </c>
      <c r="F217" s="5" t="n"/>
      <c r="G217" s="5" t="n"/>
      <c r="H217" s="6" t="inlineStr">
        <is>
          <t>対象外(非ACTIVE)</t>
        </is>
      </c>
      <c r="I217" s="17" t="inlineStr">
        <is>
          <t>—</t>
        </is>
      </c>
      <c r="J217" s="17" t="inlineStr">
        <is>
          <t>—</t>
        </is>
      </c>
      <c r="K217" s="17" t="inlineStr">
        <is>
          <t>対象外</t>
        </is>
      </c>
    </row>
    <row r="218" ht="13.8" customHeight="1" s="9">
      <c r="A218" s="6" t="n">
        <v>214</v>
      </c>
      <c r="B218" s="6" t="inlineStr">
        <is>
          <t>完全遮光フリル日傘</t>
        </is>
      </c>
      <c r="C218" s="6" t="inlineStr">
        <is>
          <t>DRAFT</t>
        </is>
      </c>
      <c r="D218" s="6" t="inlineStr">
        <is>
          <t>ミルキーホワイト</t>
        </is>
      </c>
      <c r="E218" s="7" t="n">
        <v>2731</v>
      </c>
      <c r="F218" s="5" t="n"/>
      <c r="G218" s="5" t="n"/>
      <c r="H218" s="6" t="inlineStr">
        <is>
          <t>対象外(非ACTIVE)</t>
        </is>
      </c>
      <c r="I218" s="17" t="inlineStr">
        <is>
          <t>—</t>
        </is>
      </c>
      <c r="J218" s="17" t="inlineStr">
        <is>
          <t>—</t>
        </is>
      </c>
      <c r="K218" s="17" t="inlineStr">
        <is>
          <t>対象外</t>
        </is>
      </c>
    </row>
    <row r="219" ht="13.8" customHeight="1" s="9">
      <c r="A219" s="6" t="n">
        <v>215</v>
      </c>
      <c r="B219" s="6" t="inlineStr">
        <is>
          <t>完全遮光フリル日傘</t>
        </is>
      </c>
      <c r="C219" s="6" t="inlineStr">
        <is>
          <t>DRAFT</t>
        </is>
      </c>
      <c r="D219" s="6" t="inlineStr">
        <is>
          <t>ネイビーブルー</t>
        </is>
      </c>
      <c r="E219" s="7" t="n">
        <v>2731</v>
      </c>
      <c r="F219" s="5" t="n"/>
      <c r="G219" s="5" t="n"/>
      <c r="H219" s="6" t="inlineStr">
        <is>
          <t>対象外(非ACTIVE)</t>
        </is>
      </c>
      <c r="I219" s="17" t="inlineStr">
        <is>
          <t>—</t>
        </is>
      </c>
      <c r="J219" s="17" t="inlineStr">
        <is>
          <t>—</t>
        </is>
      </c>
      <c r="K219" s="17" t="inlineStr">
        <is>
          <t>対象外</t>
        </is>
      </c>
    </row>
    <row r="220" ht="13.8" customHeight="1" s="9">
      <c r="A220" s="6" t="n">
        <v>216</v>
      </c>
      <c r="B220" s="6" t="inlineStr">
        <is>
          <t>完全遮光フリル日傘</t>
        </is>
      </c>
      <c r="C220" s="6" t="inlineStr">
        <is>
          <t>DRAFT</t>
        </is>
      </c>
      <c r="D220" s="6" t="inlineStr">
        <is>
          <t>ピンク</t>
        </is>
      </c>
      <c r="E220" s="7" t="n">
        <v>2731</v>
      </c>
      <c r="F220" s="5" t="n"/>
      <c r="G220" s="5" t="n"/>
      <c r="H220" s="6" t="inlineStr">
        <is>
          <t>対象外(非ACTIVE)</t>
        </is>
      </c>
      <c r="I220" s="17" t="inlineStr">
        <is>
          <t>—</t>
        </is>
      </c>
      <c r="J220" s="17" t="inlineStr">
        <is>
          <t>—</t>
        </is>
      </c>
      <c r="K220" s="17" t="inlineStr">
        <is>
          <t>対象外</t>
        </is>
      </c>
    </row>
    <row r="221" ht="13.8" customHeight="1" s="9">
      <c r="A221" s="6" t="n">
        <v>217</v>
      </c>
      <c r="B221" s="6" t="inlineStr">
        <is>
          <t>ふわふわ裏起毛あったかソックス</t>
        </is>
      </c>
      <c r="C221" s="6" t="inlineStr">
        <is>
          <t>UNLISTED</t>
        </is>
      </c>
      <c r="D221" s="6" t="inlineStr">
        <is>
          <t>５個セット1</t>
        </is>
      </c>
      <c r="E221" s="7" t="n">
        <v>1967</v>
      </c>
      <c r="F221" s="5" t="n"/>
      <c r="G221" s="5" t="n"/>
      <c r="H221" s="6" t="inlineStr">
        <is>
          <t>対象外(非ACTIVE)</t>
        </is>
      </c>
      <c r="I221" s="17" t="inlineStr">
        <is>
          <t>—</t>
        </is>
      </c>
      <c r="J221" s="17" t="inlineStr">
        <is>
          <t>—</t>
        </is>
      </c>
      <c r="K221" s="17" t="inlineStr">
        <is>
          <t>対象外</t>
        </is>
      </c>
    </row>
    <row r="222" ht="13.8" customHeight="1" s="9">
      <c r="A222" s="6" t="n">
        <v>218</v>
      </c>
      <c r="B222" s="6" t="inlineStr">
        <is>
          <t>ふわふわ裏起毛あったかソックス</t>
        </is>
      </c>
      <c r="C222" s="6" t="inlineStr">
        <is>
          <t>UNLISTED</t>
        </is>
      </c>
      <c r="D222" s="6" t="inlineStr">
        <is>
          <t>５個セット2</t>
        </is>
      </c>
      <c r="E222" s="7" t="n">
        <v>1967</v>
      </c>
      <c r="F222" s="5" t="n"/>
      <c r="G222" s="5" t="n"/>
      <c r="H222" s="6" t="inlineStr">
        <is>
          <t>対象外(非ACTIVE)</t>
        </is>
      </c>
      <c r="I222" s="17" t="inlineStr">
        <is>
          <t>—</t>
        </is>
      </c>
      <c r="J222" s="17" t="inlineStr">
        <is>
          <t>—</t>
        </is>
      </c>
      <c r="K222" s="17" t="inlineStr">
        <is>
          <t>対象外</t>
        </is>
      </c>
    </row>
    <row r="223" ht="13.8" customHeight="1" s="9">
      <c r="A223" s="6" t="n">
        <v>219</v>
      </c>
      <c r="B223" s="6" t="inlineStr">
        <is>
          <t>ふわふわ裏起毛あったかソックス</t>
        </is>
      </c>
      <c r="C223" s="6" t="inlineStr">
        <is>
          <t>UNLISTED</t>
        </is>
      </c>
      <c r="D223" s="6" t="inlineStr">
        <is>
          <t>５個セット3</t>
        </is>
      </c>
      <c r="E223" s="7" t="n">
        <v>1967</v>
      </c>
      <c r="F223" s="5" t="n"/>
      <c r="G223" s="5" t="n"/>
      <c r="H223" s="6" t="inlineStr">
        <is>
          <t>対象外(非ACTIVE)</t>
        </is>
      </c>
      <c r="I223" s="17" t="inlineStr">
        <is>
          <t>—</t>
        </is>
      </c>
      <c r="J223" s="17" t="inlineStr">
        <is>
          <t>—</t>
        </is>
      </c>
      <c r="K223" s="17" t="inlineStr">
        <is>
          <t>対象外</t>
        </is>
      </c>
    </row>
    <row r="224" ht="13.8" customHeight="1" s="9">
      <c r="A224" s="6" t="n">
        <v>220</v>
      </c>
      <c r="B224" s="6" t="inlineStr">
        <is>
          <t>ふわふわ裏起毛あったかソックス</t>
        </is>
      </c>
      <c r="C224" s="6" t="inlineStr">
        <is>
          <t>UNLISTED</t>
        </is>
      </c>
      <c r="D224" s="6" t="inlineStr">
        <is>
          <t>３個セット1</t>
        </is>
      </c>
      <c r="E224" s="7" t="n">
        <v>1711</v>
      </c>
      <c r="F224" s="5" t="n"/>
      <c r="G224" s="5" t="n"/>
      <c r="H224" s="6" t="inlineStr">
        <is>
          <t>対象外(非ACTIVE)</t>
        </is>
      </c>
      <c r="I224" s="17" t="inlineStr">
        <is>
          <t>—</t>
        </is>
      </c>
      <c r="J224" s="17" t="inlineStr">
        <is>
          <t>—</t>
        </is>
      </c>
      <c r="K224" s="17" t="inlineStr">
        <is>
          <t>対象外</t>
        </is>
      </c>
    </row>
    <row r="225" ht="13.8" customHeight="1" s="9">
      <c r="A225" s="6" t="n">
        <v>221</v>
      </c>
      <c r="B225" s="6" t="inlineStr">
        <is>
          <t>ふわふわ裏起毛あったかソックス</t>
        </is>
      </c>
      <c r="C225" s="6" t="inlineStr">
        <is>
          <t>UNLISTED</t>
        </is>
      </c>
      <c r="D225" s="6" t="inlineStr">
        <is>
          <t>３個セット2</t>
        </is>
      </c>
      <c r="E225" s="7" t="n">
        <v>1711</v>
      </c>
      <c r="F225" s="5" t="n"/>
      <c r="G225" s="5" t="n"/>
      <c r="H225" s="6" t="inlineStr">
        <is>
          <t>対象外(非ACTIVE)</t>
        </is>
      </c>
      <c r="I225" s="17" t="inlineStr">
        <is>
          <t>—</t>
        </is>
      </c>
      <c r="J225" s="17" t="inlineStr">
        <is>
          <t>—</t>
        </is>
      </c>
      <c r="K225" s="17" t="inlineStr">
        <is>
          <t>対象外</t>
        </is>
      </c>
    </row>
    <row r="226" ht="13.8" customHeight="1" s="9">
      <c r="A226" s="6" t="n">
        <v>222</v>
      </c>
      <c r="B226" s="6" t="inlineStr">
        <is>
          <t>ふわふわ裏起毛あったかソックス</t>
        </is>
      </c>
      <c r="C226" s="6" t="inlineStr">
        <is>
          <t>UNLISTED</t>
        </is>
      </c>
      <c r="D226" s="6" t="inlineStr">
        <is>
          <t>３個セット3</t>
        </is>
      </c>
      <c r="E226" s="7" t="n">
        <v>1711</v>
      </c>
      <c r="F226" s="5" t="n"/>
      <c r="G226" s="5" t="n"/>
      <c r="H226" s="6" t="inlineStr">
        <is>
          <t>対象外(非ACTIVE)</t>
        </is>
      </c>
      <c r="I226" s="17" t="inlineStr">
        <is>
          <t>—</t>
        </is>
      </c>
      <c r="J226" s="17" t="inlineStr">
        <is>
          <t>—</t>
        </is>
      </c>
      <c r="K226" s="17" t="inlineStr">
        <is>
          <t>対象外</t>
        </is>
      </c>
    </row>
    <row r="227" ht="13.8" customHeight="1" s="9">
      <c r="A227" s="6" t="n">
        <v>223</v>
      </c>
      <c r="B227" s="6" t="inlineStr">
        <is>
          <t>多機能電動お掃除ブラシ</t>
        </is>
      </c>
      <c r="C227" s="6" t="inlineStr">
        <is>
          <t>UNLISTED</t>
        </is>
      </c>
      <c r="D227" s="6" t="inlineStr">
        <is>
          <t>緑　６つのブラシヘッド</t>
        </is>
      </c>
      <c r="E227" s="7" t="n">
        <v>3256</v>
      </c>
      <c r="F227" s="5" t="n"/>
      <c r="G227" s="5" t="n"/>
      <c r="H227" s="6" t="inlineStr">
        <is>
          <t>対象外(非ACTIVE)</t>
        </is>
      </c>
      <c r="I227" s="17" t="inlineStr">
        <is>
          <t>—</t>
        </is>
      </c>
      <c r="J227" s="17" t="inlineStr">
        <is>
          <t>—</t>
        </is>
      </c>
      <c r="K227" s="17" t="inlineStr">
        <is>
          <t>対象外</t>
        </is>
      </c>
    </row>
    <row r="228" ht="13.8" customHeight="1" s="9">
      <c r="A228" s="6" t="n">
        <v>224</v>
      </c>
      <c r="B228" s="6" t="inlineStr">
        <is>
          <t>多機能電動お掃除ブラシ</t>
        </is>
      </c>
      <c r="C228" s="6" t="inlineStr">
        <is>
          <t>UNLISTED</t>
        </is>
      </c>
      <c r="D228" s="6" t="inlineStr">
        <is>
          <t>白　６つのブラシヘッド</t>
        </is>
      </c>
      <c r="E228" s="7" t="n">
        <v>3256</v>
      </c>
      <c r="F228" s="5" t="n"/>
      <c r="G228" s="5" t="n"/>
      <c r="H228" s="6" t="inlineStr">
        <is>
          <t>対象外(非ACTIVE)</t>
        </is>
      </c>
      <c r="I228" s="17" t="inlineStr">
        <is>
          <t>—</t>
        </is>
      </c>
      <c r="J228" s="17" t="inlineStr">
        <is>
          <t>—</t>
        </is>
      </c>
      <c r="K228" s="17" t="inlineStr">
        <is>
          <t>対象外</t>
        </is>
      </c>
    </row>
    <row r="229" ht="13.8" customHeight="1" s="9">
      <c r="A229" s="6" t="n">
        <v>225</v>
      </c>
      <c r="B229" s="6" t="inlineStr">
        <is>
          <t>多機能電動お掃除ブラシ</t>
        </is>
      </c>
      <c r="C229" s="6" t="inlineStr">
        <is>
          <t>UNLISTED</t>
        </is>
      </c>
      <c r="D229" s="6" t="inlineStr">
        <is>
          <t>緑　９つのブラシヘッド</t>
        </is>
      </c>
      <c r="E229" s="7" t="n">
        <v>3518</v>
      </c>
      <c r="F229" s="5" t="n"/>
      <c r="G229" s="5" t="n"/>
      <c r="H229" s="6" t="inlineStr">
        <is>
          <t>対象外(非ACTIVE)</t>
        </is>
      </c>
      <c r="I229" s="17" t="inlineStr">
        <is>
          <t>—</t>
        </is>
      </c>
      <c r="J229" s="17" t="inlineStr">
        <is>
          <t>—</t>
        </is>
      </c>
      <c r="K229" s="17" t="inlineStr">
        <is>
          <t>対象外</t>
        </is>
      </c>
    </row>
    <row r="230" ht="13.8" customHeight="1" s="9">
      <c r="A230" s="6" t="n">
        <v>226</v>
      </c>
      <c r="B230" s="6" t="inlineStr">
        <is>
          <t>多機能電動お掃除ブラシ</t>
        </is>
      </c>
      <c r="C230" s="6" t="inlineStr">
        <is>
          <t>UNLISTED</t>
        </is>
      </c>
      <c r="D230" s="6" t="inlineStr">
        <is>
          <t>白　９つのブラシヘッド</t>
        </is>
      </c>
      <c r="E230" s="7" t="n">
        <v>3518</v>
      </c>
      <c r="F230" s="5" t="n"/>
      <c r="G230" s="5" t="n"/>
      <c r="H230" s="6" t="inlineStr">
        <is>
          <t>対象外(非ACTIVE)</t>
        </is>
      </c>
      <c r="I230" s="17" t="inlineStr">
        <is>
          <t>—</t>
        </is>
      </c>
      <c r="J230" s="17" t="inlineStr">
        <is>
          <t>—</t>
        </is>
      </c>
      <c r="K230" s="17" t="inlineStr">
        <is>
          <t>対象外</t>
        </is>
      </c>
    </row>
    <row r="231" ht="13.8" customHeight="1" s="9">
      <c r="A231" s="6" t="n">
        <v>227</v>
      </c>
      <c r="B231" s="6" t="inlineStr">
        <is>
          <t>形状記憶（空商品）</t>
        </is>
      </c>
      <c r="C231" s="6" t="inlineStr">
        <is>
          <t>UNLISTED</t>
        </is>
      </c>
      <c r="D231" s="6" t="inlineStr">
        <is>
          <t>Default Title</t>
        </is>
      </c>
      <c r="E231" s="7" t="n"/>
      <c r="F231" s="5" t="n"/>
      <c r="G231" s="5" t="n"/>
      <c r="H231" s="6" t="inlineStr">
        <is>
          <t>対象外(非ACTIVE)</t>
        </is>
      </c>
      <c r="I231" s="17" t="inlineStr">
        <is>
          <t>—</t>
        </is>
      </c>
      <c r="J231" s="17" t="inlineStr">
        <is>
          <t>—</t>
        </is>
      </c>
      <c r="K231" s="17" t="inlineStr">
        <is>
          <t>対象外</t>
        </is>
      </c>
    </row>
    <row r="232" ht="13.8" customHeight="1" s="9">
      <c r="A232" s="6" t="n">
        <v>228</v>
      </c>
      <c r="B232" s="6" t="inlineStr">
        <is>
          <t>磁気吸着式 充電式カイロ</t>
        </is>
      </c>
      <c r="C232" s="6" t="inlineStr">
        <is>
          <t>UNLISTED</t>
        </is>
      </c>
      <c r="D232" s="6" t="inlineStr">
        <is>
          <t>黒</t>
        </is>
      </c>
      <c r="E232" s="7" t="n">
        <v>2072</v>
      </c>
      <c r="F232" s="5" t="n"/>
      <c r="G232" s="5" t="n"/>
      <c r="H232" s="6" t="inlineStr">
        <is>
          <t>対象外(非ACTIVE)</t>
        </is>
      </c>
      <c r="I232" s="17" t="inlineStr">
        <is>
          <t>—</t>
        </is>
      </c>
      <c r="J232" s="17" t="inlineStr">
        <is>
          <t>—</t>
        </is>
      </c>
      <c r="K232" s="17" t="inlineStr">
        <is>
          <t>対象外</t>
        </is>
      </c>
    </row>
    <row r="233" ht="13.8" customHeight="1" s="9">
      <c r="A233" s="6" t="n">
        <v>229</v>
      </c>
      <c r="B233" s="6" t="inlineStr">
        <is>
          <t>磁気吸着式 充電式カイロ</t>
        </is>
      </c>
      <c r="C233" s="6" t="inlineStr">
        <is>
          <t>UNLISTED</t>
        </is>
      </c>
      <c r="D233" s="6" t="inlineStr">
        <is>
          <t>緑</t>
        </is>
      </c>
      <c r="E233" s="7" t="n">
        <v>2072</v>
      </c>
      <c r="F233" s="5" t="n"/>
      <c r="G233" s="5" t="n"/>
      <c r="H233" s="6" t="inlineStr">
        <is>
          <t>対象外(非ACTIVE)</t>
        </is>
      </c>
      <c r="I233" s="17" t="inlineStr">
        <is>
          <t>—</t>
        </is>
      </c>
      <c r="J233" s="17" t="inlineStr">
        <is>
          <t>—</t>
        </is>
      </c>
      <c r="K233" s="17" t="inlineStr">
        <is>
          <t>対象外</t>
        </is>
      </c>
    </row>
    <row r="234" ht="13.8" customHeight="1" s="9">
      <c r="A234" s="6" t="n">
        <v>230</v>
      </c>
      <c r="B234" s="6" t="inlineStr">
        <is>
          <t>磁気吸着式 充電式カイロ</t>
        </is>
      </c>
      <c r="C234" s="6" t="inlineStr">
        <is>
          <t>UNLISTED</t>
        </is>
      </c>
      <c r="D234" s="6" t="inlineStr">
        <is>
          <t>暖かい白</t>
        </is>
      </c>
      <c r="E234" s="7" t="n">
        <v>2072</v>
      </c>
      <c r="F234" s="5" t="n"/>
      <c r="G234" s="5" t="n"/>
      <c r="H234" s="6" t="inlineStr">
        <is>
          <t>対象外(非ACTIVE)</t>
        </is>
      </c>
      <c r="I234" s="17" t="inlineStr">
        <is>
          <t>—</t>
        </is>
      </c>
      <c r="J234" s="17" t="inlineStr">
        <is>
          <t>—</t>
        </is>
      </c>
      <c r="K234" s="17" t="inlineStr">
        <is>
          <t>対象外</t>
        </is>
      </c>
    </row>
    <row r="235" ht="13.8" customHeight="1" s="9">
      <c r="A235" s="6" t="n">
        <v>231</v>
      </c>
      <c r="B235" s="6" t="inlineStr">
        <is>
          <t>電気ブランケット</t>
        </is>
      </c>
      <c r="C235" s="6" t="inlineStr">
        <is>
          <t>UNLISTED</t>
        </is>
      </c>
      <c r="D235" s="6" t="inlineStr">
        <is>
          <t>グレー</t>
        </is>
      </c>
      <c r="E235" s="7" t="n">
        <v>2492</v>
      </c>
      <c r="F235" s="5" t="n"/>
      <c r="G235" s="5" t="n"/>
      <c r="H235" s="6" t="inlineStr">
        <is>
          <t>対象外(非ACTIVE)</t>
        </is>
      </c>
      <c r="I235" s="17" t="inlineStr">
        <is>
          <t>—</t>
        </is>
      </c>
      <c r="J235" s="17" t="inlineStr">
        <is>
          <t>—</t>
        </is>
      </c>
      <c r="K235" s="17" t="inlineStr">
        <is>
          <t>対象外</t>
        </is>
      </c>
    </row>
    <row r="236" ht="13.8" customHeight="1" s="9">
      <c r="A236" s="6" t="n">
        <v>232</v>
      </c>
      <c r="B236" s="6" t="inlineStr">
        <is>
          <t>コードレス布団クリーナー</t>
        </is>
      </c>
      <c r="C236" s="6" t="inlineStr">
        <is>
          <t>ARCHIVED</t>
        </is>
      </c>
      <c r="D236" s="6" t="inlineStr">
        <is>
          <t>ブルー</t>
        </is>
      </c>
      <c r="E236" s="7" t="n">
        <v>5339</v>
      </c>
      <c r="F236" s="5" t="n"/>
      <c r="G236" s="5" t="n"/>
      <c r="H236" s="6" t="inlineStr">
        <is>
          <t>対象外(非ACTIVE)</t>
        </is>
      </c>
      <c r="I236" s="17" t="inlineStr">
        <is>
          <t>—</t>
        </is>
      </c>
      <c r="J236" s="17" t="inlineStr">
        <is>
          <t>—</t>
        </is>
      </c>
      <c r="K236" s="17" t="inlineStr">
        <is>
          <t>対象外</t>
        </is>
      </c>
    </row>
    <row r="237" ht="13.8" customHeight="1" s="9">
      <c r="A237" s="6" t="n">
        <v>233</v>
      </c>
      <c r="B237" s="6" t="inlineStr">
        <is>
          <t>コードレス布団クリーナー</t>
        </is>
      </c>
      <c r="C237" s="6" t="inlineStr">
        <is>
          <t>ARCHIVED</t>
        </is>
      </c>
      <c r="D237" s="6" t="inlineStr">
        <is>
          <t>パープル</t>
        </is>
      </c>
      <c r="E237" s="7" t="n">
        <v>5339</v>
      </c>
      <c r="F237" s="5" t="n"/>
      <c r="G237" s="5" t="n"/>
      <c r="H237" s="6" t="inlineStr">
        <is>
          <t>対象外(非ACTIVE)</t>
        </is>
      </c>
      <c r="I237" s="17" t="inlineStr">
        <is>
          <t>—</t>
        </is>
      </c>
      <c r="J237" s="17" t="inlineStr">
        <is>
          <t>—</t>
        </is>
      </c>
      <c r="K237" s="17" t="inlineStr">
        <is>
          <t>対象外</t>
        </is>
      </c>
    </row>
    <row r="238" ht="13.8" customHeight="1" s="9">
      <c r="A238" s="6" t="n">
        <v>234</v>
      </c>
      <c r="B238" s="6" t="inlineStr">
        <is>
          <t>コードレス布団クリーナー</t>
        </is>
      </c>
      <c r="C238" s="6" t="inlineStr">
        <is>
          <t>ARCHIVED</t>
        </is>
      </c>
      <c r="D238" s="6" t="inlineStr">
        <is>
          <t>ホワイト</t>
        </is>
      </c>
      <c r="E238" s="7" t="n">
        <v>5339</v>
      </c>
      <c r="F238" s="5" t="n"/>
      <c r="G238" s="5" t="n"/>
      <c r="H238" s="6" t="inlineStr">
        <is>
          <t>対象外(非ACTIVE)</t>
        </is>
      </c>
      <c r="I238" s="17" t="inlineStr">
        <is>
          <t>—</t>
        </is>
      </c>
      <c r="J238" s="17" t="inlineStr">
        <is>
          <t>—</t>
        </is>
      </c>
      <c r="K238" s="17" t="inlineStr">
        <is>
          <t>対象外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2026-07-22T05:41:28Z</dcterms:created>
  <dcterms:modified xsi:type="dcterms:W3CDTF">2026-07-25T01:31:20Z</dcterms:modified>
  <cp:lastModifiedBy>MB MB</cp:lastModifiedBy>
</cp:coreProperties>
</file>